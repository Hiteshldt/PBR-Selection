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onfiguration" sheetId="1" r:id="rId5"/>
    <sheet state="visible" name="2. BOM &amp; Pricing" sheetId="2" r:id="rId6"/>
    <sheet state="visible" name="3. Technical Specs" sheetId="3" r:id="rId7"/>
  </sheets>
  <definedNames/>
  <calcPr/>
</workbook>
</file>

<file path=xl/sharedStrings.xml><?xml version="1.0" encoding="utf-8"?>
<sst xmlns="http://schemas.openxmlformats.org/spreadsheetml/2006/main" count="316" uniqueCount="272">
  <si>
    <t>CARBELIM PRIVATE LIMITED</t>
  </si>
  <si>
    <t>AirForest™ Lab-Grade Photobioreactor — Product Configuration &amp; Quotation Sheet</t>
  </si>
  <si>
    <t>Version 1.0  |  Coimbatore, India  |  IIT Madras Research Park Incubatee</t>
  </si>
  <si>
    <t>Client / Organisation</t>
  </si>
  <si>
    <t>Dept. of Marine Biotechnology, Naval Materials Research Laboratory</t>
  </si>
  <si>
    <t>Contact Person</t>
  </si>
  <si>
    <t>Enter name</t>
  </si>
  <si>
    <t>Email / Phone</t>
  </si>
  <si>
    <t>Enter contact details</t>
  </si>
  <si>
    <t>Quotation Date</t>
  </si>
  <si>
    <t>DD-MMM-YYYY</t>
  </si>
  <si>
    <t>Quotation Ref #</t>
  </si>
  <si>
    <t>CBL-PBR-001</t>
  </si>
  <si>
    <t>Delivery Location</t>
  </si>
  <si>
    <t>Dept. of Marine Biotechnology, Naval Materials Research Laboratory, Ambernath (Maharashtra)</t>
  </si>
  <si>
    <t>CONFIGURATION OPTIONS — Tick / Highlight your selection in yellow cells</t>
  </si>
  <si>
    <t>Module</t>
  </si>
  <si>
    <t>Option A</t>
  </si>
  <si>
    <t>Option B</t>
  </si>
  <si>
    <t>Option C</t>
  </si>
  <si>
    <t>Notes</t>
  </si>
  <si>
    <t>Air Sensor Coverage</t>
  </si>
  <si>
    <t>Inlet Only</t>
  </si>
  <si>
    <t>Inlet + Outlet</t>
  </si>
  <si>
    <t>Connectivity</t>
  </si>
  <si>
    <t>WiFi Only (customer's router)</t>
  </si>
  <si>
    <t>WiFi + 4G SIM (standalone)</t>
  </si>
  <si>
    <t>IoT Dashboard</t>
  </si>
  <si>
    <t>None</t>
  </si>
  <si>
    <t>Cloud Dashboard (AWS-hosted)</t>
  </si>
  <si>
    <t>Electrical Supply</t>
  </si>
  <si>
    <t>240V 50/60Hz</t>
  </si>
  <si>
    <t>230 V / 50 Hz (Indian/International)</t>
  </si>
  <si>
    <t>PRICE SUMMARY (see Sheet 2 for full BOM)</t>
  </si>
  <si>
    <t>STRUCTURAL — Frame &amp; Tank</t>
  </si>
  <si>
    <t>LIGHTING — LED Grow Lights (Side-Mounted)</t>
  </si>
  <si>
    <t>LIQUID SENSORS — pH, Turbidity, TDS, Temperature, Level</t>
  </si>
  <si>
    <t>AIR SENSORS — Option A</t>
  </si>
  <si>
    <t>ELECTRICAL — RCCB, MCBs, Relays, Wiring</t>
  </si>
  <si>
    <t>CONTROL SYSTEM — PLC + HMI (IDEC FT2J-7U)</t>
  </si>
  <si>
    <t>MISCELLANEOUS &amp; CONSUMABLES</t>
  </si>
  <si>
    <t>Connectivity Module (as configured)</t>
  </si>
  <si>
    <t>IoT Dashboard (annual, if selected)</t>
  </si>
  <si>
    <t>Subtotal (INR)</t>
  </si>
  <si>
    <t>GST @ 18%</t>
  </si>
  <si>
    <t>GRAND TOTAL (INR)</t>
  </si>
  <si>
    <t>Note: Prices are indicative (INR, ex-works Coimbatore). Taxes, freight, installation, and commissioning charged separately. Validity: 30 days from quotation date.</t>
  </si>
  <si>
    <t>CARBELIM PRIVATE LIMITED — AirForest™ PBR  |  Full Bill of Materials &amp; Pricing</t>
  </si>
  <si>
    <t>Item #</t>
  </si>
  <si>
    <t>Category</t>
  </si>
  <si>
    <t>Component / Description</t>
  </si>
  <si>
    <t>Part Number / Model</t>
  </si>
  <si>
    <t>Qty</t>
  </si>
  <si>
    <t>Unit</t>
  </si>
  <si>
    <t>Unit Price 
(INR)</t>
  </si>
  <si>
    <t>Per Unit Margin</t>
  </si>
  <si>
    <t>Total (INR)</t>
  </si>
  <si>
    <t>Total Margin</t>
  </si>
  <si>
    <t>Remarks</t>
  </si>
  <si>
    <t xml:space="preserve">  STRUCTURAL — Frame &amp; Tank</t>
  </si>
  <si>
    <t>STRUCTURAL</t>
  </si>
  <si>
    <t>SS304 Matte Frame</t>
  </si>
  <si>
    <t>Custom Fabricated</t>
  </si>
  <si>
    <t>Set</t>
  </si>
  <si>
    <t>Includes base feet &amp; mounting brackets</t>
  </si>
  <si>
    <t>Acrylic Tank (50 L Capacity)</t>
  </si>
  <si>
    <t>No.</t>
  </si>
  <si>
    <t>Silicone-sealed joints; drain port</t>
  </si>
  <si>
    <t>Stainless Steel Hardware (bolts, nuts, standoffs)</t>
  </si>
  <si>
    <t>SS-304 Assorted</t>
  </si>
  <si>
    <t>Lot</t>
  </si>
  <si>
    <t xml:space="preserve">  Subtotal — Frame &amp; Tank</t>
  </si>
  <si>
    <t xml:space="preserve">  LIGHTING — LED Grow Lights (Side-Mounted)</t>
  </si>
  <si>
    <t>LIGHTING</t>
  </si>
  <si>
    <t>Full-Spectrum LED Grow Strip (side panels, 4 sides)</t>
  </si>
  <si>
    <t>CARB LED equiv.</t>
  </si>
  <si>
    <t>Strip</t>
  </si>
  <si>
    <t>LED Driver / Power Supply 24 V (for lighting)</t>
  </si>
  <si>
    <t>Power Supply</t>
  </si>
  <si>
    <t>100 W, 24 V / 4.2 A, DIN-rail</t>
  </si>
  <si>
    <t xml:space="preserve">  Subtotal — LED Grow Lights (Side-Mounted)</t>
  </si>
  <si>
    <t xml:space="preserve">  LIQUID SENSORS — pH, Turbidity, TDS, Temperature, Level</t>
  </si>
  <si>
    <t>WATER SENSORS</t>
  </si>
  <si>
    <t>pH Sensor + Transmitter</t>
  </si>
  <si>
    <t>Carbelim CBPH01</t>
  </si>
  <si>
    <t>0–14 pH, 0–60 °C; BNC probe; 0–5 V output</t>
  </si>
  <si>
    <t>Turbidity Sensor (Basic)</t>
  </si>
  <si>
    <t>Carbelim CBTURB01</t>
  </si>
  <si>
    <t>0–3000 NTU; 5 V DC; analog 0–4.5 V output</t>
  </si>
  <si>
    <t>TDS Sensor (Basic)</t>
  </si>
  <si>
    <t>Carbelim CBTDS01</t>
  </si>
  <si>
    <t>0–1000 ppm; 3.3–5.5 V; analog 0–2.3 V output</t>
  </si>
  <si>
    <t>Water Temperature — PT100 RTD + Transmitter</t>
  </si>
  <si>
    <t>Carbelim CBPT100</t>
  </si>
  <si>
    <t>-10 to 100 °C; SPI interface to PLC/MCU</t>
  </si>
  <si>
    <t>Liquid Level — Pressure Sensor</t>
  </si>
  <si>
    <t>Carbelim LEVEL01</t>
  </si>
  <si>
    <t>4–20 mA output; submersible; stainless diaphragm</t>
  </si>
  <si>
    <t>Signal Converter 0–5 V → 4–20 mA (DIN rail, ×3)</t>
  </si>
  <si>
    <t>Carbelim Signal multiplexer</t>
  </si>
  <si>
    <t>For pH, turbidity, TDS long cable runs to PLC/PCB</t>
  </si>
  <si>
    <t>Sensor Enclosure</t>
  </si>
  <si>
    <t>Enclosure for Wate Sensors</t>
  </si>
  <si>
    <t>Carbelim SENENCLO</t>
  </si>
  <si>
    <t>Enclsoure for Electrodes porbes</t>
  </si>
  <si>
    <t xml:space="preserve">  Subtotal — pH, Turbidity, TDS, Temperature, Level</t>
  </si>
  <si>
    <t xml:space="preserve">  AIR SENSORS — Option A: Inlet Only</t>
  </si>
  <si>
    <t>AIR SENSORS</t>
  </si>
  <si>
    <t>Multi-Gas Air Quality Module — INLET</t>
  </si>
  <si>
    <t>Carbelim CBZPHS01B</t>
  </si>
  <si>
    <t>CO₂, CO, O₃, TVOC, HCHO, Temp, RH, PM2.5, PM10; RS-485 Modbus</t>
  </si>
  <si>
    <t>Sensor Enclosure + Mounting Bracket (Inlet)</t>
  </si>
  <si>
    <t>Custom RS485 Hub</t>
  </si>
  <si>
    <t>RS-485 cable entry</t>
  </si>
  <si>
    <t xml:space="preserve">  Subtotal — Option A: Inlet Only</t>
  </si>
  <si>
    <t xml:space="preserve">  AIR SENSORS — Option B: Inlet + Outlet </t>
  </si>
  <si>
    <t>Multi-Gas Air Quality Module — OUTLET</t>
  </si>
  <si>
    <t>Sensor Enclosure + Mounting Bracket (Outlet)</t>
  </si>
  <si>
    <t xml:space="preserve">  Subtotal — Option B: Inlet + Outlet (additional to D-A)</t>
  </si>
  <si>
    <t xml:space="preserve">  ELECTRICAL — RCCB, MCBs, Relays, Wiring, Terminals</t>
  </si>
  <si>
    <t>Protection</t>
  </si>
  <si>
    <t>Circuit Breakers (Main RCCB &amp; Branch MCBs)</t>
  </si>
  <si>
    <t>Main RCCB &amp; Branch MCBs</t>
  </si>
  <si>
    <t>Main earth-leakage and circuit overload protection</t>
  </si>
  <si>
    <t>Air Compression unit</t>
  </si>
  <si>
    <t>Carbelim CAQ-013</t>
  </si>
  <si>
    <t>4 Watts, 2*4LPM Aeration</t>
  </si>
  <si>
    <t>Aeration</t>
  </si>
  <si>
    <t>Intake Auxiliary fan</t>
  </si>
  <si>
    <t>Carbelim CIAF</t>
  </si>
  <si>
    <t>12V DC/ 240V AC</t>
  </si>
  <si>
    <t>Enclosure, Connection and Control</t>
  </si>
  <si>
    <t>Waterproof Switchboard, Wiring Kit (Cables, Terminals, DIN Rails, Ducts), Relays (Solid-State &amp; DIN-Rail), Power Supplies (24V/12V SMPS) &amp; Power Inlet</t>
  </si>
  <si>
    <t>Waterproof Switchboard, Cables, Terminals, DIN Rails, Ducts, SSR and Relays, Cables, Terminals, DIN Rails, Ducts, SMPS (24V/12V SMPS)</t>
  </si>
  <si>
    <t>Safe housing for all electrical components, Power routing, sensor wiring, and component mounting</t>
  </si>
  <si>
    <t xml:space="preserve">  Subtotal — RCCB, MCBs, Relays, Wiring, Terminals</t>
  </si>
  <si>
    <t xml:space="preserve">  CONTROL SYSTEM — PLC + HMI (IDEC FT2J-7U)</t>
  </si>
  <si>
    <t>CONTROL SYSTEM</t>
  </si>
  <si>
    <t>HMI Logic Control Board</t>
  </si>
  <si>
    <t>Carbelim IDEC PLC (FT2J-7U22RAF-B)</t>
  </si>
  <si>
    <t>Analog DIgital Input, 24 V DC</t>
  </si>
  <si>
    <t xml:space="preserve">  Subtotal — HMI + PLC (IDEC FT2J-7U)</t>
  </si>
  <si>
    <t xml:space="preserve">  CONNECTIVITY — Option B: WiFi + 4G SIM (additional)</t>
  </si>
  <si>
    <t>CONNECTIVITY</t>
  </si>
  <si>
    <t>4G LTE + WiFi Module</t>
  </si>
  <si>
    <t>SIM Card based Router for WiFi/ Ethernet</t>
  </si>
  <si>
    <t>LTE Cat-4; dual SIM;</t>
  </si>
  <si>
    <t xml:space="preserve">  Subtotal — Option B: WiFi + 4G SIM (additional)</t>
  </si>
  <si>
    <t xml:space="preserve">  IoT DASHBOARD — Optional Cloud Service</t>
  </si>
  <si>
    <t>IoT DASHBOARD</t>
  </si>
  <si>
    <t>AWS IoT Core + DynamoDB + S3 Setup (one-time)</t>
  </si>
  <si>
    <t>Carbelim Cloud Setup</t>
  </si>
  <si>
    <t>Service</t>
  </si>
  <si>
    <t>One-time config; real-time MQTT + REST API</t>
  </si>
  <si>
    <t>Historical Analytics Module (per device/year)</t>
  </si>
  <si>
    <t>Carbelim SaaS CBL-HIST-01</t>
  </si>
  <si>
    <t>Year</t>
  </si>
  <si>
    <t>Athena-backed long-term trend analysis + reports</t>
  </si>
  <si>
    <t xml:space="preserve">  Subtotal — Optional Cloud Service</t>
  </si>
  <si>
    <t xml:space="preserve">  MISCELLANEOUS &amp; CONSUMABLES</t>
  </si>
  <si>
    <t>Cable Labels + Ferrule Kit, Zip Ties, Heat Shrink, Electrical Tape (lot), Documentation Pack (wiring diagrams, BOM, manual)</t>
  </si>
  <si>
    <t>Partex / Brady assorted</t>
  </si>
  <si>
    <t xml:space="preserve">  Subtotal — MISCELLANEOUS &amp; CONSUMABLES</t>
  </si>
  <si>
    <t>CARBELIM AirForest™ — Lab-Grade PBR  |  Technical Specifications</t>
  </si>
  <si>
    <t>Parameter</t>
  </si>
  <si>
    <t>Specification / Value</t>
  </si>
  <si>
    <t xml:space="preserve">  1. MECHANICAL &amp; STRUCTURAL</t>
  </si>
  <si>
    <t>Overall Dimensions (W × D × H)</t>
  </si>
  <si>
    <t>TBD</t>
  </si>
  <si>
    <t>Varies with tank volume</t>
  </si>
  <si>
    <t>Frame Material</t>
  </si>
  <si>
    <t>MS Square Tube</t>
  </si>
  <si>
    <t>Tank Material</t>
  </si>
  <si>
    <t>Cast Acrylic</t>
  </si>
  <si>
    <t>Tank Volume (nominal)</t>
  </si>
  <si>
    <t>50 litres</t>
  </si>
  <si>
    <t>Operating Weight (filled)</t>
  </si>
  <si>
    <t>Incl. frame, tank, electronics</t>
  </si>
  <si>
    <t>Ingress Protection — Panel</t>
  </si>
  <si>
    <t>Electrical enclosure</t>
  </si>
  <si>
    <t xml:space="preserve">  2. LIGHTING</t>
  </si>
  <si>
    <t>Light Type</t>
  </si>
  <si>
    <t>Full-Spectrum LED, side-mounted</t>
  </si>
  <si>
    <t>Number of Panels</t>
  </si>
  <si>
    <t>4 sides (full perimeter)</t>
  </si>
  <si>
    <t>Power per Strip</t>
  </si>
  <si>
    <t>Control</t>
  </si>
  <si>
    <t>Relay based Control</t>
  </si>
  <si>
    <t>0–10 V analog output</t>
  </si>
  <si>
    <t>Voltage</t>
  </si>
  <si>
    <t>24 V DC</t>
  </si>
  <si>
    <t>Powered by Power Supply</t>
  </si>
  <si>
    <t xml:space="preserve">  3. LIQUID SENSING</t>
  </si>
  <si>
    <t>pH Range</t>
  </si>
  <si>
    <t>0–14 pH</t>
  </si>
  <si>
    <t>Carbelim CBPH01; ±0.1 pH accuracy</t>
  </si>
  <si>
    <t>Turbidity Range (Basic)</t>
  </si>
  <si>
    <t>0–3000 NTU</t>
  </si>
  <si>
    <t>Carbelim CBTURB01; ±5% FS</t>
  </si>
  <si>
    <t>TDS Range (Basic)</t>
  </si>
  <si>
    <t>0–1000 ppm</t>
  </si>
  <si>
    <t>Carbelim CBTDS01; ±10% FS</t>
  </si>
  <si>
    <t>Water Temperature</t>
  </si>
  <si>
    <t>-10 to 100 °C</t>
  </si>
  <si>
    <t>Carbelim CBPT100; ±0.5 °C</t>
  </si>
  <si>
    <t>Liquid Level</t>
  </si>
  <si>
    <t>0–500 mm (hydrostatic)</t>
  </si>
  <si>
    <t>Carbelim LEVEL01 4-20ma; ±1% FS</t>
  </si>
  <si>
    <t>DO Sensor</t>
  </si>
  <si>
    <t>0 to 20.0 ppm (mg/L)</t>
  </si>
  <si>
    <t>Carbelim DOSensor ±0.2 ppm to ±1 count</t>
  </si>
  <si>
    <t xml:space="preserve">  4. AIR SENSING (Carbelim CBZPHS01B)</t>
  </si>
  <si>
    <t>Parameters Measured</t>
  </si>
  <si>
    <t>CO₂, CO, O₃, TVOC, HCHO, Temp, RH, PM2.5, PM10</t>
  </si>
  <si>
    <t>11 Modbus registers</t>
  </si>
  <si>
    <t>CO₂ Range</t>
  </si>
  <si>
    <t>400–5000 ppm</t>
  </si>
  <si>
    <t>±50 ppm or ±5% of reading</t>
  </si>
  <si>
    <t>PM2.5 / PM10 Range</t>
  </si>
  <si>
    <t>0–999 µg/m³</t>
  </si>
  <si>
    <t>Laser scattering method</t>
  </si>
  <si>
    <t>Temperature (air)</t>
  </si>
  <si>
    <t>-10 to 50 °C</t>
  </si>
  <si>
    <t>±0.5 °C</t>
  </si>
  <si>
    <t>Relative Humidity</t>
  </si>
  <si>
    <t>0–100% RH</t>
  </si>
  <si>
    <t>±3% RH</t>
  </si>
  <si>
    <t>Communication</t>
  </si>
  <si>
    <t>RS-485 Modbus RTU, 9600 baud</t>
  </si>
  <si>
    <t>FC03; addresses 0–10</t>
  </si>
  <si>
    <t>Sensor Positions</t>
  </si>
  <si>
    <t>Inlet (Option A) or Inlet + Outlet (Option B)</t>
  </si>
  <si>
    <t>Option B adds 1 ZPHS01B</t>
  </si>
  <si>
    <t xml:space="preserve">  5. CONTROL SYSTEM</t>
  </si>
  <si>
    <t>PCB / HMI + PLC</t>
  </si>
  <si>
    <t>IDEC FT2J-7U/ Carbelim PCB</t>
  </si>
  <si>
    <t>7" TFT touch; RS-485; Ethernet</t>
  </si>
  <si>
    <t xml:space="preserve">  6. CONNECTIVITY &amp; IoT</t>
  </si>
  <si>
    <t>WiFi Option</t>
  </si>
  <si>
    <t>IEEE 802.11 b/g/n; 2.4 GHz</t>
  </si>
  <si>
    <t>Connect to existing LAN router</t>
  </si>
  <si>
    <t>SIM Option (add-on)</t>
  </si>
  <si>
    <t xml:space="preserve">4G LTE Cat-4 </t>
  </si>
  <si>
    <t>Standalone; nano SIM</t>
  </si>
  <si>
    <t>Protocol</t>
  </si>
  <si>
    <t>MQTT over TLS (AWS IoT Core)</t>
  </si>
  <si>
    <t>QoS 1; retained messages</t>
  </si>
  <si>
    <t>Cloud Backend</t>
  </si>
  <si>
    <t>AWS IoT Core + DynamoDB + S3</t>
  </si>
  <si>
    <t>Serverless; scales to fleet</t>
  </si>
  <si>
    <t>Dashboard</t>
  </si>
  <si>
    <t>Web-based (responsive); WebSocket real-time</t>
  </si>
  <si>
    <t>Mobile + desktop; no app install</t>
  </si>
  <si>
    <t>Data Retention</t>
  </si>
  <si>
    <t>Hot: 30 days DynamoDB; Cold: 2 years S3</t>
  </si>
  <si>
    <t>Tiered TTL strategy</t>
  </si>
  <si>
    <t xml:space="preserve">  7. ELECTRICAL</t>
  </si>
  <si>
    <t>Supply Voltage</t>
  </si>
  <si>
    <t>230 V AC / 50 Hz (India)</t>
  </si>
  <si>
    <t>Specify at order</t>
  </si>
  <si>
    <t>Total Connected Load</t>
  </si>
  <si>
    <t>~300 W typical (excl. heater)</t>
  </si>
  <si>
    <t>~550 W with 250 W EHEIM heater</t>
  </si>
  <si>
    <t>Main Protection</t>
  </si>
  <si>
    <t>RCCB 2P 30 mA + MCB 2P 16 A</t>
  </si>
  <si>
    <t>Circuit breaker</t>
  </si>
  <si>
    <t>Heater Control</t>
  </si>
  <si>
    <t>SSR 40 A</t>
  </si>
  <si>
    <t>SMPS Outputs</t>
  </si>
  <si>
    <t>24 V DC (sensors + relays) + 12 V DC (PCB)</t>
  </si>
  <si>
    <t>24v 150w Power Supply</t>
  </si>
  <si>
    <t>Specifications subject to change without notice. All prices are estimates only. Contact Carbelim for final engineering quotation.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</si>
</sst>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rgb="FFFFFFFF"/>
      <name val="Arial"/>
    </font>
    <font/>
    <font>
      <sz val="12.0"/>
      <color rgb="FFFFFFFF"/>
      <name val="Arial"/>
    </font>
    <font>
      <sz val="9.0"/>
      <color rgb="FFAAAAAA"/>
      <name val="Arial"/>
    </font>
    <font>
      <b/>
      <sz val="10.0"/>
      <color rgb="FF000000"/>
      <name val="Arial"/>
    </font>
    <font>
      <sz val="10.0"/>
      <color rgb="FF0000FF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b/>
      <sz val="9.0"/>
      <color rgb="FF000000"/>
      <name val="Arial"/>
    </font>
    <font>
      <sz val="9.0"/>
      <color rgb="FF000000"/>
      <name val="Arial"/>
    </font>
    <font>
      <sz val="10.0"/>
      <color rgb="FF000000"/>
      <name val="Arial"/>
    </font>
    <font>
      <i/>
      <sz val="8.0"/>
      <color rgb="FF666666"/>
      <name val="Arial"/>
    </font>
    <font>
      <b/>
      <sz val="13.0"/>
      <color rgb="FFFFFFFF"/>
      <name val="Arial"/>
    </font>
    <font>
      <sz val="9.0"/>
      <color rgb="FF888888"/>
      <name val="Arial"/>
    </font>
    <font>
      <b/>
      <sz val="9.0"/>
      <color rgb="FF000000"/>
      <name val="Google Sans Mono"/>
    </font>
    <font>
      <b/>
      <sz val="9.0"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A3C2E"/>
        <bgColor rgb="FF1A3C2E"/>
      </patternFill>
    </fill>
    <fill>
      <patternFill patternType="solid">
        <fgColor rgb="FF2E6B4F"/>
        <bgColor rgb="FF2E6B4F"/>
      </patternFill>
    </fill>
    <fill>
      <patternFill patternType="solid">
        <fgColor rgb="FFF5F5F5"/>
        <bgColor rgb="FFF5F5F5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  <fill>
      <patternFill patternType="solid">
        <fgColor rgb="FFD6EAE0"/>
        <bgColor rgb="FFD6EAE0"/>
      </patternFill>
    </fill>
    <fill>
      <patternFill patternType="solid">
        <fgColor rgb="FF4CAF7D"/>
        <bgColor rgb="FF4CAF7D"/>
      </patternFill>
    </fill>
  </fills>
  <borders count="21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555555"/>
      </left>
      <top style="medium">
        <color rgb="FF555555"/>
      </top>
      <bottom style="medium">
        <color rgb="FF555555"/>
      </bottom>
    </border>
    <border>
      <top style="medium">
        <color rgb="FF555555"/>
      </top>
      <bottom style="medium">
        <color rgb="FF555555"/>
      </bottom>
    </border>
    <border>
      <right/>
      <top style="medium">
        <color rgb="FF555555"/>
      </top>
      <bottom style="medium">
        <color rgb="FF555555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/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3" fontId="4" numFmtId="0" xfId="0" applyAlignment="1" applyBorder="1" applyFill="1" applyFont="1">
      <alignment horizontal="center" shrinkToFit="0" vertical="center" wrapText="0"/>
    </xf>
    <xf borderId="10" fillId="0" fontId="3" numFmtId="0" xfId="0" applyBorder="1" applyFont="1"/>
    <xf borderId="11" fillId="0" fontId="3" numFmtId="0" xfId="0" applyBorder="1" applyFont="1"/>
    <xf borderId="9" fillId="2" fontId="5" numFmtId="0" xfId="0" applyAlignment="1" applyBorder="1" applyFont="1">
      <alignment horizontal="center" shrinkToFit="0" vertical="center" wrapText="0"/>
    </xf>
    <xf borderId="12" fillId="4" fontId="6" numFmtId="0" xfId="0" applyAlignment="1" applyBorder="1" applyFill="1" applyFont="1">
      <alignment horizontal="left" shrinkToFit="0" vertical="center" wrapText="0"/>
    </xf>
    <xf borderId="13" fillId="0" fontId="3" numFmtId="0" xfId="0" applyBorder="1" applyFont="1"/>
    <xf borderId="12" fillId="5" fontId="7" numFmtId="0" xfId="0" applyAlignment="1" applyBorder="1" applyFill="1" applyFont="1">
      <alignment horizontal="left" shrinkToFit="0" vertical="center" wrapText="0"/>
    </xf>
    <xf borderId="14" fillId="0" fontId="3" numFmtId="0" xfId="0" applyBorder="1" applyFont="1"/>
    <xf borderId="15" fillId="0" fontId="3" numFmtId="0" xfId="0" applyBorder="1" applyFont="1"/>
    <xf borderId="16" fillId="3" fontId="8" numFmtId="0" xfId="0" applyAlignment="1" applyBorder="1" applyFont="1">
      <alignment horizontal="left" shrinkToFit="0" vertical="center" wrapText="0"/>
    </xf>
    <xf borderId="17" fillId="0" fontId="3" numFmtId="0" xfId="0" applyBorder="1" applyFont="1"/>
    <xf borderId="18" fillId="0" fontId="3" numFmtId="0" xfId="0" applyBorder="1" applyFont="1"/>
    <xf borderId="19" fillId="2" fontId="9" numFmtId="0" xfId="0" applyAlignment="1" applyBorder="1" applyFont="1">
      <alignment horizontal="center" shrinkToFit="0" vertical="center" wrapText="0"/>
    </xf>
    <xf borderId="19" fillId="4" fontId="10" numFmtId="0" xfId="0" applyAlignment="1" applyBorder="1" applyFont="1">
      <alignment horizontal="left" shrinkToFit="0" vertical="center" wrapText="1"/>
    </xf>
    <xf borderId="19" fillId="5" fontId="11" numFmtId="0" xfId="0" applyAlignment="1" applyBorder="1" applyFont="1">
      <alignment horizontal="left" shrinkToFit="0" vertical="center" wrapText="1"/>
    </xf>
    <xf borderId="19" fillId="6" fontId="11" numFmtId="0" xfId="0" applyAlignment="1" applyBorder="1" applyFill="1" applyFont="1">
      <alignment horizontal="left" readingOrder="0" shrinkToFit="0" vertical="center" wrapText="1"/>
    </xf>
    <xf borderId="19" fillId="6" fontId="1" numFmtId="0" xfId="0" applyAlignment="1" applyBorder="1" applyFont="1">
      <alignment shrinkToFit="0" vertical="bottom" wrapText="0"/>
    </xf>
    <xf borderId="19" fillId="6" fontId="11" numFmtId="0" xfId="0" applyAlignment="1" applyBorder="1" applyFont="1">
      <alignment horizontal="left" shrinkToFit="0" vertical="center" wrapText="1"/>
    </xf>
    <xf borderId="19" fillId="5" fontId="11" numFmtId="0" xfId="0" applyAlignment="1" applyBorder="1" applyFont="1">
      <alignment horizontal="left" readingOrder="0" shrinkToFit="0" vertical="center" wrapText="1"/>
    </xf>
    <xf borderId="12" fillId="7" fontId="12" numFmtId="0" xfId="0" applyAlignment="1" applyBorder="1" applyFill="1" applyFont="1">
      <alignment horizontal="left" shrinkToFit="0" vertical="center" wrapText="0"/>
    </xf>
    <xf borderId="12" fillId="7" fontId="12" numFmtId="3" xfId="0" applyAlignment="1" applyBorder="1" applyFont="1" applyNumberFormat="1">
      <alignment horizontal="right" shrinkToFit="0" vertical="center" wrapText="0"/>
    </xf>
    <xf borderId="12" fillId="7" fontId="12" numFmtId="0" xfId="0" applyAlignment="1" applyBorder="1" applyFont="1">
      <alignment horizontal="left" readingOrder="0" shrinkToFit="0" vertical="center" wrapText="0"/>
    </xf>
    <xf borderId="12" fillId="8" fontId="6" numFmtId="0" xfId="0" applyAlignment="1" applyBorder="1" applyFill="1" applyFont="1">
      <alignment horizontal="left" shrinkToFit="0" vertical="center" wrapText="0"/>
    </xf>
    <xf borderId="12" fillId="8" fontId="9" numFmtId="3" xfId="0" applyAlignment="1" applyBorder="1" applyFont="1" applyNumberFormat="1">
      <alignment horizontal="right" shrinkToFit="0" vertical="center" wrapText="0"/>
    </xf>
    <xf borderId="20" fillId="7" fontId="12" numFmtId="0" xfId="0" applyAlignment="1" applyBorder="1" applyFont="1">
      <alignment horizontal="left" shrinkToFit="0" vertical="center" wrapText="0"/>
    </xf>
    <xf borderId="14" fillId="0" fontId="1" numFmtId="0" xfId="0" applyAlignment="1" applyBorder="1" applyFont="1">
      <alignment shrinkToFit="0" vertical="bottom" wrapText="0"/>
    </xf>
    <xf borderId="19" fillId="7" fontId="12" numFmtId="3" xfId="0" applyAlignment="1" applyBorder="1" applyFont="1" applyNumberFormat="1">
      <alignment horizontal="right" shrinkToFit="0" vertical="center" wrapText="0"/>
    </xf>
    <xf borderId="15" fillId="0" fontId="1" numFmtId="0" xfId="0" applyAlignment="1" applyBorder="1" applyFont="1">
      <alignment shrinkToFit="0" vertical="bottom" wrapText="0"/>
    </xf>
    <xf borderId="12" fillId="8" fontId="9" numFmtId="0" xfId="0" applyAlignment="1" applyBorder="1" applyFont="1">
      <alignment horizontal="left" shrinkToFit="0" vertical="center" wrapText="0"/>
    </xf>
    <xf borderId="0" fillId="0" fontId="13" numFmtId="0" xfId="0" applyAlignment="1" applyFont="1">
      <alignment horizontal="left" shrinkToFit="0" vertical="center" wrapText="1"/>
    </xf>
    <xf borderId="1" fillId="2" fontId="14" numFmtId="0" xfId="0" applyAlignment="1" applyBorder="1" applyFont="1">
      <alignment horizontal="center" shrinkToFit="0" vertical="center" wrapText="0"/>
    </xf>
    <xf borderId="19" fillId="2" fontId="9" numFmtId="0" xfId="0" applyAlignment="1" applyBorder="1" applyFont="1">
      <alignment horizontal="center" shrinkToFit="0" vertical="center" wrapText="1"/>
    </xf>
    <xf borderId="19" fillId="2" fontId="9" numFmtId="0" xfId="0" applyAlignment="1" applyBorder="1" applyFont="1">
      <alignment horizontal="center" readingOrder="0" shrinkToFit="0" vertical="center" wrapText="1"/>
    </xf>
    <xf borderId="16" fillId="3" fontId="9" numFmtId="0" xfId="0" applyAlignment="1" applyBorder="1" applyFont="1">
      <alignment horizontal="left" shrinkToFit="0" vertical="center" wrapText="0"/>
    </xf>
    <xf borderId="0" fillId="0" fontId="15" numFmtId="3" xfId="0" applyAlignment="1" applyFont="1" applyNumberFormat="1">
      <alignment shrinkToFit="0" vertical="bottom" wrapText="0"/>
    </xf>
    <xf borderId="19" fillId="7" fontId="11" numFmtId="3" xfId="0" applyAlignment="1" applyBorder="1" applyFont="1" applyNumberFormat="1">
      <alignment horizontal="right" shrinkToFit="0" vertical="center" wrapText="0"/>
    </xf>
    <xf borderId="19" fillId="7" fontId="11" numFmtId="49" xfId="0" applyAlignment="1" applyBorder="1" applyFont="1" applyNumberFormat="1">
      <alignment horizontal="left" shrinkToFit="0" vertical="center" wrapText="0"/>
    </xf>
    <xf borderId="19" fillId="7" fontId="11" numFmtId="49" xfId="0" applyAlignment="1" applyBorder="1" applyFont="1" applyNumberFormat="1">
      <alignment horizontal="left" readingOrder="0" shrinkToFit="0" vertical="center" wrapText="1"/>
    </xf>
    <xf borderId="19" fillId="7" fontId="11" numFmtId="3" xfId="0" applyAlignment="1" applyBorder="1" applyFont="1" applyNumberFormat="1">
      <alignment horizontal="right" readingOrder="0" shrinkToFit="0" vertical="center" wrapText="0"/>
    </xf>
    <xf borderId="19" fillId="7" fontId="16" numFmtId="3" xfId="0" applyAlignment="1" applyBorder="1" applyFont="1" applyNumberFormat="1">
      <alignment horizontal="right" readingOrder="0" shrinkToFit="0" vertical="center" wrapText="0"/>
    </xf>
    <xf borderId="19" fillId="7" fontId="10" numFmtId="3" xfId="0" applyAlignment="1" applyBorder="1" applyFont="1" applyNumberFormat="1">
      <alignment horizontal="right" shrinkToFit="0" vertical="center" wrapText="0"/>
    </xf>
    <xf borderId="19" fillId="0" fontId="10" numFmtId="3" xfId="0" applyAlignment="1" applyBorder="1" applyFont="1" applyNumberFormat="1">
      <alignment horizontal="right" shrinkToFit="0" vertical="center" wrapText="0"/>
    </xf>
    <xf borderId="19" fillId="7" fontId="11" numFmtId="49" xfId="0" applyAlignment="1" applyBorder="1" applyFont="1" applyNumberFormat="1">
      <alignment horizontal="left" shrinkToFit="0" vertical="center" wrapText="1"/>
    </xf>
    <xf borderId="19" fillId="0" fontId="11" numFmtId="3" xfId="0" applyAlignment="1" applyBorder="1" applyFont="1" applyNumberFormat="1">
      <alignment horizontal="right" shrinkToFit="0" vertical="center" wrapText="0"/>
    </xf>
    <xf borderId="19" fillId="0" fontId="11" numFmtId="49" xfId="0" applyAlignment="1" applyBorder="1" applyFont="1" applyNumberFormat="1">
      <alignment horizontal="left" shrinkToFit="0" vertical="center" wrapText="0"/>
    </xf>
    <xf borderId="19" fillId="0" fontId="11" numFmtId="49" xfId="0" applyAlignment="1" applyBorder="1" applyFont="1" applyNumberFormat="1">
      <alignment horizontal="left" shrinkToFit="0" vertical="center" wrapText="1"/>
    </xf>
    <xf borderId="12" fillId="8" fontId="17" numFmtId="0" xfId="0" applyAlignment="1" applyBorder="1" applyFont="1">
      <alignment horizontal="left" shrinkToFit="0" vertical="center" wrapText="0"/>
    </xf>
    <xf borderId="19" fillId="8" fontId="17" numFmtId="3" xfId="0" applyAlignment="1" applyBorder="1" applyFont="1" applyNumberFormat="1">
      <alignment horizontal="right" shrinkToFit="0" vertical="center" wrapText="0"/>
    </xf>
    <xf borderId="19" fillId="8" fontId="1" numFmtId="0" xfId="0" applyAlignment="1" applyBorder="1" applyFont="1">
      <alignment shrinkToFit="0" vertical="bottom" wrapText="0"/>
    </xf>
    <xf borderId="19" fillId="0" fontId="11" numFmtId="3" xfId="0" applyAlignment="1" applyBorder="1" applyFont="1" applyNumberFormat="1">
      <alignment horizontal="right" readingOrder="0" shrinkToFit="0" vertical="center" wrapText="0"/>
    </xf>
    <xf borderId="19" fillId="6" fontId="11" numFmtId="49" xfId="0" applyAlignment="1" applyBorder="1" applyFont="1" applyNumberFormat="1">
      <alignment horizontal="left" shrinkToFit="0" vertical="center" wrapText="1"/>
    </xf>
    <xf borderId="12" fillId="8" fontId="17" numFmtId="3" xfId="0" applyAlignment="1" applyBorder="1" applyFont="1" applyNumberFormat="1">
      <alignment horizontal="right" shrinkToFit="0" vertical="center" wrapText="0"/>
    </xf>
    <xf borderId="19" fillId="7" fontId="11" numFmtId="49" xfId="0" applyAlignment="1" applyBorder="1" applyFont="1" applyNumberFormat="1">
      <alignment horizontal="left" readingOrder="0" shrinkToFit="0" vertical="center" wrapText="0"/>
    </xf>
    <xf borderId="19" fillId="0" fontId="11" numFmtId="49" xfId="0" applyAlignment="1" applyBorder="1" applyFont="1" applyNumberFormat="1">
      <alignment horizontal="left" readingOrder="0" shrinkToFit="0" vertical="center" wrapText="0"/>
    </xf>
    <xf borderId="12" fillId="0" fontId="11" numFmtId="3" xfId="0" applyAlignment="1" applyBorder="1" applyFont="1" applyNumberFormat="1">
      <alignment horizontal="right" readingOrder="0" shrinkToFit="0" vertical="center" wrapText="0"/>
    </xf>
    <xf borderId="12" fillId="0" fontId="11" numFmtId="49" xfId="0" applyAlignment="1" applyBorder="1" applyFont="1" applyNumberFormat="1">
      <alignment horizontal="left" readingOrder="0" shrinkToFit="0" vertical="center" wrapText="0"/>
    </xf>
    <xf borderId="12" fillId="0" fontId="11" numFmtId="49" xfId="0" applyAlignment="1" applyBorder="1" applyFont="1" applyNumberFormat="1">
      <alignment horizontal="left" readingOrder="0" shrinkToFit="0" vertical="center" wrapText="1"/>
    </xf>
    <xf borderId="12" fillId="0" fontId="11" numFmtId="3" xfId="0" applyAlignment="1" applyBorder="1" applyFont="1" applyNumberFormat="1">
      <alignment horizontal="right" shrinkToFit="0" vertical="center" wrapText="0"/>
    </xf>
    <xf borderId="12" fillId="0" fontId="11" numFmtId="49" xfId="0" applyAlignment="1" applyBorder="1" applyFont="1" applyNumberFormat="1">
      <alignment horizontal="left" shrinkToFit="0" vertical="center" wrapText="0"/>
    </xf>
    <xf borderId="19" fillId="0" fontId="10" numFmtId="3" xfId="0" applyAlignment="1" applyBorder="1" applyFont="1" applyNumberFormat="1">
      <alignment horizontal="right" readingOrder="0" shrinkToFit="0" vertical="center" wrapText="0"/>
    </xf>
    <xf borderId="19" fillId="0" fontId="11" numFmtId="49" xfId="0" applyAlignment="1" applyBorder="1" applyFont="1" applyNumberFormat="1">
      <alignment horizontal="left" readingOrder="0" shrinkToFit="0" vertical="center" wrapText="1"/>
    </xf>
    <xf borderId="19" fillId="7" fontId="11" numFmtId="0" xfId="0" applyAlignment="1" applyBorder="1" applyFont="1">
      <alignment horizontal="left" shrinkToFit="0" vertical="center" wrapText="1"/>
    </xf>
    <xf borderId="19" fillId="7" fontId="11" numFmtId="0" xfId="0" applyAlignment="1" applyBorder="1" applyFont="1">
      <alignment horizontal="left" shrinkToFit="0" vertical="center" wrapText="0"/>
    </xf>
    <xf borderId="19" fillId="6" fontId="11" numFmtId="3" xfId="0" applyAlignment="1" applyBorder="1" applyFont="1" applyNumberFormat="1">
      <alignment horizontal="right" shrinkToFit="0" vertical="center" wrapText="0"/>
    </xf>
    <xf borderId="19" fillId="6" fontId="11" numFmtId="49" xfId="0" applyAlignment="1" applyBorder="1" applyFont="1" applyNumberFormat="1">
      <alignment horizontal="left" shrinkToFit="0" vertical="center" wrapText="0"/>
    </xf>
    <xf borderId="19" fillId="6" fontId="11" numFmtId="0" xfId="0" applyAlignment="1" applyBorder="1" applyFont="1">
      <alignment horizontal="left" shrinkToFit="0" vertical="center" wrapText="0"/>
    </xf>
    <xf borderId="19" fillId="6" fontId="10" numFmtId="3" xfId="0" applyAlignment="1" applyBorder="1" applyFont="1" applyNumberFormat="1">
      <alignment horizontal="right" shrinkToFit="0" vertical="center" wrapText="0"/>
    </xf>
    <xf borderId="19" fillId="6" fontId="11" numFmtId="3" xfId="0" applyAlignment="1" applyBorder="1" applyFont="1" applyNumberFormat="1">
      <alignment horizontal="right" readingOrder="0" shrinkToFit="0" vertical="center" wrapText="0"/>
    </xf>
    <xf borderId="19" fillId="6" fontId="11" numFmtId="49" xfId="0" applyAlignment="1" applyBorder="1" applyFont="1" applyNumberFormat="1">
      <alignment horizontal="left" readingOrder="0" shrinkToFit="0" vertical="center" wrapText="0"/>
    </xf>
    <xf borderId="19" fillId="6" fontId="11" numFmtId="0" xfId="0" applyAlignment="1" applyBorder="1" applyFont="1">
      <alignment horizontal="left" readingOrder="0" shrinkToFit="0" vertical="center" wrapText="0"/>
    </xf>
    <xf borderId="19" fillId="7" fontId="11" numFmtId="0" xfId="0" applyAlignment="1" applyBorder="1" applyFont="1">
      <alignment horizontal="left" readingOrder="0" shrinkToFit="0" vertical="center" wrapText="1"/>
    </xf>
    <xf borderId="16" fillId="3" fontId="9" numFmtId="0" xfId="0" applyAlignment="1" applyBorder="1" applyFont="1">
      <alignment horizontal="left" readingOrder="0" shrinkToFit="0" vertical="center" wrapText="0"/>
    </xf>
    <xf borderId="19" fillId="7" fontId="10" numFmtId="0" xfId="0" applyAlignment="1" applyBorder="1" applyFont="1">
      <alignment horizontal="left" shrinkToFit="0" vertical="center" wrapText="1"/>
    </xf>
    <xf borderId="19" fillId="6" fontId="10" numFmtId="0" xfId="0" applyAlignment="1" applyBorder="1" applyFont="1">
      <alignment horizontal="left" shrinkToFit="0" vertical="center" wrapText="1"/>
    </xf>
    <xf borderId="19" fillId="6" fontId="10" numFmtId="0" xfId="0" applyAlignment="1" applyBorder="1" applyFont="1">
      <alignment horizontal="left" readingOrder="0" shrinkToFit="0" vertical="center" wrapText="1"/>
    </xf>
    <xf borderId="19" fillId="7" fontId="10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10" numFmtId="49" xfId="0" applyAlignment="1" applyFont="1" applyNumberFormat="1">
      <alignment horizontal="left" shrinkToFit="0" vertical="center" wrapText="1"/>
    </xf>
    <xf borderId="0" fillId="0" fontId="11" numFmtId="49" xfId="0" applyAlignment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3" width="27.0"/>
    <col customWidth="1" min="4" max="4" width="28.0"/>
    <col customWidth="1" min="5" max="5" width="22.0"/>
    <col customWidth="1" min="6" max="6" width="39.86"/>
    <col customWidth="1" min="7" max="7" width="18.0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2" t="s">
        <v>0</v>
      </c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5"/>
      <c r="G3" s="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7"/>
      <c r="C4" s="8"/>
      <c r="D4" s="8"/>
      <c r="E4" s="8"/>
      <c r="F4" s="8"/>
      <c r="G4" s="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10" t="s">
        <v>1</v>
      </c>
      <c r="C5" s="11"/>
      <c r="D5" s="11"/>
      <c r="E5" s="11"/>
      <c r="F5" s="11"/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3" t="s">
        <v>2</v>
      </c>
      <c r="C6" s="11"/>
      <c r="D6" s="11"/>
      <c r="E6" s="11"/>
      <c r="F6" s="11"/>
      <c r="G6" s="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14" t="s">
        <v>3</v>
      </c>
      <c r="C8" s="15"/>
      <c r="D8" s="16" t="s">
        <v>4</v>
      </c>
      <c r="E8" s="17"/>
      <c r="F8" s="17"/>
      <c r="G8" s="1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4" t="s">
        <v>5</v>
      </c>
      <c r="C9" s="15"/>
      <c r="D9" s="16" t="s">
        <v>6</v>
      </c>
      <c r="E9" s="17"/>
      <c r="F9" s="17"/>
      <c r="G9" s="1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4" t="s">
        <v>7</v>
      </c>
      <c r="C10" s="15"/>
      <c r="D10" s="16" t="s">
        <v>8</v>
      </c>
      <c r="E10" s="17"/>
      <c r="F10" s="17"/>
      <c r="G10" s="1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4" t="s">
        <v>9</v>
      </c>
      <c r="C11" s="15"/>
      <c r="D11" s="16" t="s">
        <v>10</v>
      </c>
      <c r="E11" s="17"/>
      <c r="F11" s="17"/>
      <c r="G11" s="1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14" t="s">
        <v>11</v>
      </c>
      <c r="C12" s="15"/>
      <c r="D12" s="16" t="s">
        <v>12</v>
      </c>
      <c r="E12" s="17"/>
      <c r="F12" s="17"/>
      <c r="G12" s="1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14" t="s">
        <v>13</v>
      </c>
      <c r="C13" s="15"/>
      <c r="D13" s="16" t="s">
        <v>14</v>
      </c>
      <c r="E13" s="17"/>
      <c r="F13" s="17"/>
      <c r="G13" s="1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9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19" t="s">
        <v>15</v>
      </c>
      <c r="C15" s="20"/>
      <c r="D15" s="20"/>
      <c r="E15" s="20"/>
      <c r="F15" s="20"/>
      <c r="G15" s="2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22" t="s">
        <v>16</v>
      </c>
      <c r="C16" s="22" t="s">
        <v>17</v>
      </c>
      <c r="D16" s="22" t="s">
        <v>18</v>
      </c>
      <c r="E16" s="22" t="s">
        <v>19</v>
      </c>
      <c r="F16" s="22" t="s">
        <v>20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23" t="s">
        <v>21</v>
      </c>
      <c r="C17" s="24" t="s">
        <v>22</v>
      </c>
      <c r="D17" s="24" t="s">
        <v>23</v>
      </c>
      <c r="E17" s="24"/>
      <c r="F17" s="25"/>
      <c r="G17" s="2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23" t="s">
        <v>24</v>
      </c>
      <c r="C18" s="24" t="s">
        <v>25</v>
      </c>
      <c r="D18" s="24" t="s">
        <v>26</v>
      </c>
      <c r="E18" s="24"/>
      <c r="F18" s="27"/>
      <c r="G18" s="2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23" t="s">
        <v>27</v>
      </c>
      <c r="C19" s="24" t="s">
        <v>28</v>
      </c>
      <c r="D19" s="24" t="s">
        <v>29</v>
      </c>
      <c r="E19" s="24"/>
      <c r="F19" s="27"/>
      <c r="G19" s="2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23" t="s">
        <v>30</v>
      </c>
      <c r="C20" s="28" t="s">
        <v>31</v>
      </c>
      <c r="D20" s="24" t="s">
        <v>32</v>
      </c>
      <c r="E20" s="24"/>
      <c r="F20" s="27"/>
      <c r="G20" s="2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9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19" t="s">
        <v>33</v>
      </c>
      <c r="C22" s="20"/>
      <c r="D22" s="20"/>
      <c r="E22" s="20"/>
      <c r="F22" s="20"/>
      <c r="G22" s="2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29" t="s">
        <v>34</v>
      </c>
      <c r="C23" s="17"/>
      <c r="D23" s="17"/>
      <c r="E23" s="15"/>
      <c r="F23" s="30">
        <f>'2. BOM &amp; Pricing'!J9</f>
        <v>45750</v>
      </c>
      <c r="G23" s="1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29" t="s">
        <v>35</v>
      </c>
      <c r="C24" s="17"/>
      <c r="D24" s="17"/>
      <c r="E24" s="15"/>
      <c r="F24" s="30">
        <f>'2. BOM &amp; Pricing'!J14</f>
        <v>6500</v>
      </c>
      <c r="G24" s="1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29" t="s">
        <v>36</v>
      </c>
      <c r="C25" s="17"/>
      <c r="D25" s="17"/>
      <c r="E25" s="15"/>
      <c r="F25" s="30">
        <f>'2. BOM &amp; Pricing'!J24</f>
        <v>21500</v>
      </c>
      <c r="G25" s="1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31" t="s">
        <v>37</v>
      </c>
      <c r="C26" s="17"/>
      <c r="D26" s="17"/>
      <c r="E26" s="15"/>
      <c r="F26" s="30">
        <f>'2. BOM &amp; Pricing'!J29</f>
        <v>16200</v>
      </c>
      <c r="G26" s="1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29" t="s">
        <v>38</v>
      </c>
      <c r="C27" s="17"/>
      <c r="D27" s="17"/>
      <c r="E27" s="15"/>
      <c r="F27" s="30">
        <f>'2. BOM &amp; Pricing'!J41</f>
        <v>10500</v>
      </c>
      <c r="G27" s="1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31" t="s">
        <v>39</v>
      </c>
      <c r="C28" s="17"/>
      <c r="D28" s="17"/>
      <c r="E28" s="15"/>
      <c r="F28" s="30">
        <f>'2. BOM &amp; Pricing'!J45</f>
        <v>35000</v>
      </c>
      <c r="G28" s="1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29" t="s">
        <v>40</v>
      </c>
      <c r="C29" s="17"/>
      <c r="D29" s="17"/>
      <c r="E29" s="15"/>
      <c r="F29" s="30">
        <f>'2. BOM &amp; Pricing'!J58</f>
        <v>8000</v>
      </c>
      <c r="G29" s="1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29" t="s">
        <v>41</v>
      </c>
      <c r="C30" s="17"/>
      <c r="D30" s="17"/>
      <c r="E30" s="15"/>
      <c r="F30" s="30" t="str">
        <f>#REF!</f>
        <v>#REF!</v>
      </c>
      <c r="G30" s="1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29" t="s">
        <v>42</v>
      </c>
      <c r="C31" s="17"/>
      <c r="D31" s="17"/>
      <c r="E31" s="15"/>
      <c r="F31" s="30">
        <f>'2. BOM &amp; Pricing'!J54</f>
        <v>29000</v>
      </c>
      <c r="G31" s="1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32" t="s">
        <v>43</v>
      </c>
      <c r="C32" s="17"/>
      <c r="D32" s="17"/>
      <c r="E32" s="15"/>
      <c r="F32" s="33" t="str">
        <f>SUM(F23:F31)</f>
        <v>#REF!</v>
      </c>
      <c r="G32" s="1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7.25" customHeight="1">
      <c r="A33" s="1"/>
      <c r="B33" s="34" t="s">
        <v>44</v>
      </c>
      <c r="C33" s="35"/>
      <c r="D33" s="35"/>
      <c r="E33" s="35"/>
      <c r="F33" s="36" t="str">
        <f>F32*0.18</f>
        <v>#REF!</v>
      </c>
      <c r="G33" s="3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38" t="s">
        <v>45</v>
      </c>
      <c r="C34" s="17"/>
      <c r="D34" s="17"/>
      <c r="E34" s="18"/>
      <c r="F34" s="33" t="str">
        <f>F32+F33</f>
        <v>#REF!</v>
      </c>
      <c r="G34" s="1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39" t="s">
        <v>46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39">
    <mergeCell ref="B2:G4"/>
    <mergeCell ref="B5:G5"/>
    <mergeCell ref="B6:G6"/>
    <mergeCell ref="B8:C8"/>
    <mergeCell ref="D8:G8"/>
    <mergeCell ref="B9:C9"/>
    <mergeCell ref="D9:G9"/>
    <mergeCell ref="B10:C10"/>
    <mergeCell ref="D10:G10"/>
    <mergeCell ref="B11:C11"/>
    <mergeCell ref="D11:G11"/>
    <mergeCell ref="B12:C12"/>
    <mergeCell ref="D12:G12"/>
    <mergeCell ref="B13:C13"/>
    <mergeCell ref="D13:G13"/>
    <mergeCell ref="B15:G15"/>
    <mergeCell ref="B22:G22"/>
    <mergeCell ref="B23:E23"/>
    <mergeCell ref="F23:G23"/>
    <mergeCell ref="B24:E24"/>
    <mergeCell ref="F24:G24"/>
    <mergeCell ref="B25:E25"/>
    <mergeCell ref="F25:G25"/>
    <mergeCell ref="B26:E26"/>
    <mergeCell ref="F26:G26"/>
    <mergeCell ref="B27:E27"/>
    <mergeCell ref="F27:G27"/>
    <mergeCell ref="F28:G28"/>
    <mergeCell ref="B32:E32"/>
    <mergeCell ref="F32:G32"/>
    <mergeCell ref="B34:E34"/>
    <mergeCell ref="F34:G34"/>
    <mergeCell ref="B28:E28"/>
    <mergeCell ref="B29:E29"/>
    <mergeCell ref="F29:G29"/>
    <mergeCell ref="B30:E30"/>
    <mergeCell ref="F30:G30"/>
    <mergeCell ref="B31:E31"/>
    <mergeCell ref="F31:G3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8.71"/>
    <col customWidth="1" min="3" max="3" width="31.86"/>
    <col customWidth="1" min="4" max="4" width="40.71"/>
    <col customWidth="1" min="5" max="5" width="35.43"/>
    <col customWidth="1" min="6" max="6" width="6.86"/>
    <col customWidth="1" min="7" max="7" width="8.57"/>
    <col customWidth="1" min="8" max="8" width="12.57"/>
    <col customWidth="1" min="9" max="11" width="13.14"/>
    <col customWidth="1" min="12" max="12" width="28.57"/>
    <col customWidth="1" min="13" max="13" width="3.0"/>
    <col customWidth="1" min="14" max="14" width="0.57"/>
    <col customWidth="1" min="15" max="18" width="8.71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27.75" customHeight="1">
      <c r="A2" s="1"/>
      <c r="B2" s="40" t="s">
        <v>47</v>
      </c>
      <c r="C2" s="3"/>
      <c r="D2" s="3"/>
      <c r="E2" s="3"/>
      <c r="F2" s="3"/>
      <c r="G2" s="3"/>
      <c r="H2" s="3"/>
      <c r="I2" s="3"/>
      <c r="J2" s="3"/>
      <c r="K2" s="3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5.0" customHeight="1">
      <c r="A3" s="1"/>
      <c r="B3" s="7"/>
      <c r="C3" s="8"/>
      <c r="D3" s="8"/>
      <c r="E3" s="8"/>
      <c r="F3" s="8"/>
      <c r="G3" s="8"/>
      <c r="H3" s="8"/>
      <c r="I3" s="8"/>
      <c r="J3" s="8"/>
      <c r="K3" s="8"/>
      <c r="L3" s="9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27.75" customHeight="1">
      <c r="A4" s="1"/>
      <c r="B4" s="41" t="s">
        <v>48</v>
      </c>
      <c r="C4" s="41" t="s">
        <v>49</v>
      </c>
      <c r="D4" s="41" t="s">
        <v>50</v>
      </c>
      <c r="E4" s="41" t="s">
        <v>51</v>
      </c>
      <c r="F4" s="41" t="s">
        <v>52</v>
      </c>
      <c r="G4" s="41" t="s">
        <v>53</v>
      </c>
      <c r="H4" s="41" t="s">
        <v>54</v>
      </c>
      <c r="I4" s="42" t="s">
        <v>55</v>
      </c>
      <c r="J4" s="41" t="s">
        <v>56</v>
      </c>
      <c r="K4" s="42" t="s">
        <v>57</v>
      </c>
      <c r="L4" s="41" t="s">
        <v>58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9.5" customHeight="1">
      <c r="A5" s="1"/>
      <c r="B5" s="43" t="s">
        <v>59</v>
      </c>
      <c r="C5" s="20"/>
      <c r="D5" s="20"/>
      <c r="E5" s="20"/>
      <c r="F5" s="20"/>
      <c r="G5" s="20"/>
      <c r="H5" s="20"/>
      <c r="I5" s="20"/>
      <c r="J5" s="20"/>
      <c r="K5" s="20"/>
      <c r="L5" s="21"/>
      <c r="M5" s="1"/>
      <c r="N5" s="4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29.25" customHeight="1">
      <c r="A6" s="1"/>
      <c r="B6" s="45">
        <v>1.0</v>
      </c>
      <c r="C6" s="46" t="s">
        <v>60</v>
      </c>
      <c r="D6" s="47" t="s">
        <v>61</v>
      </c>
      <c r="E6" s="46" t="s">
        <v>62</v>
      </c>
      <c r="F6" s="45">
        <v>1.0</v>
      </c>
      <c r="G6" s="46" t="s">
        <v>63</v>
      </c>
      <c r="H6" s="48">
        <v>12750.0</v>
      </c>
      <c r="I6" s="49">
        <f t="shared" ref="I6:I8" si="1">H6 + (H6*110%)</f>
        <v>26775</v>
      </c>
      <c r="J6" s="50">
        <f t="shared" ref="J6:J8" si="2">F6*H6</f>
        <v>12750</v>
      </c>
      <c r="K6" s="51">
        <f t="shared" ref="K6:K8" si="3">F6*I6</f>
        <v>26775</v>
      </c>
      <c r="L6" s="52" t="s">
        <v>64</v>
      </c>
      <c r="M6" s="1"/>
      <c r="N6" s="4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24.75" customHeight="1">
      <c r="A7" s="1"/>
      <c r="B7" s="53">
        <v>2.0</v>
      </c>
      <c r="C7" s="54" t="s">
        <v>60</v>
      </c>
      <c r="D7" s="55" t="s">
        <v>65</v>
      </c>
      <c r="E7" s="54" t="s">
        <v>62</v>
      </c>
      <c r="F7" s="53">
        <v>1.0</v>
      </c>
      <c r="G7" s="54" t="s">
        <v>66</v>
      </c>
      <c r="H7" s="53">
        <v>30000.0</v>
      </c>
      <c r="I7" s="51">
        <f t="shared" si="1"/>
        <v>63000</v>
      </c>
      <c r="J7" s="51">
        <f t="shared" si="2"/>
        <v>30000</v>
      </c>
      <c r="K7" s="51">
        <f t="shared" si="3"/>
        <v>63000</v>
      </c>
      <c r="L7" s="55" t="s">
        <v>67</v>
      </c>
      <c r="M7" s="1"/>
      <c r="N7" s="4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8.0" customHeight="1">
      <c r="A8" s="1"/>
      <c r="B8" s="45">
        <v>3.0</v>
      </c>
      <c r="C8" s="46" t="s">
        <v>60</v>
      </c>
      <c r="D8" s="52" t="s">
        <v>68</v>
      </c>
      <c r="E8" s="46" t="s">
        <v>69</v>
      </c>
      <c r="F8" s="45">
        <v>1.0</v>
      </c>
      <c r="G8" s="46" t="s">
        <v>70</v>
      </c>
      <c r="H8" s="48">
        <v>3000.0</v>
      </c>
      <c r="I8" s="50">
        <f t="shared" si="1"/>
        <v>6300</v>
      </c>
      <c r="J8" s="50">
        <f t="shared" si="2"/>
        <v>3000</v>
      </c>
      <c r="K8" s="51">
        <f t="shared" si="3"/>
        <v>6300</v>
      </c>
      <c r="L8" s="52"/>
      <c r="M8" s="1"/>
      <c r="N8" s="4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8.0" customHeight="1">
      <c r="A9" s="1"/>
      <c r="B9" s="56" t="s">
        <v>71</v>
      </c>
      <c r="C9" s="17"/>
      <c r="D9" s="17"/>
      <c r="E9" s="17"/>
      <c r="F9" s="17"/>
      <c r="G9" s="17"/>
      <c r="H9" s="15"/>
      <c r="I9" s="57"/>
      <c r="J9" s="57">
        <f t="shared" ref="J9:K9" si="4">SUM(J6:J8)</f>
        <v>45750</v>
      </c>
      <c r="K9" s="57">
        <f t="shared" si="4"/>
        <v>96075</v>
      </c>
      <c r="L9" s="58"/>
      <c r="M9" s="1"/>
      <c r="N9" s="44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5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44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9.5" customHeight="1">
      <c r="A11" s="1"/>
      <c r="B11" s="43" t="s">
        <v>72</v>
      </c>
      <c r="C11" s="20"/>
      <c r="D11" s="20"/>
      <c r="E11" s="20"/>
      <c r="F11" s="20"/>
      <c r="G11" s="20"/>
      <c r="H11" s="20"/>
      <c r="I11" s="20"/>
      <c r="J11" s="20"/>
      <c r="K11" s="20"/>
      <c r="L11" s="21"/>
      <c r="M11" s="1"/>
      <c r="N11" s="4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25.5" customHeight="1">
      <c r="A12" s="1"/>
      <c r="B12" s="53">
        <v>5.0</v>
      </c>
      <c r="C12" s="54" t="s">
        <v>73</v>
      </c>
      <c r="D12" s="55" t="s">
        <v>74</v>
      </c>
      <c r="E12" s="54" t="s">
        <v>75</v>
      </c>
      <c r="F12" s="59">
        <v>5.0</v>
      </c>
      <c r="G12" s="54" t="s">
        <v>76</v>
      </c>
      <c r="H12" s="53">
        <v>1000.0</v>
      </c>
      <c r="I12" s="51">
        <f t="shared" ref="I12:I13" si="5">H12 + (H12*180%)</f>
        <v>2800</v>
      </c>
      <c r="J12" s="51">
        <f t="shared" ref="J12:J13" si="6">F12*H12</f>
        <v>5000</v>
      </c>
      <c r="K12" s="51">
        <f t="shared" ref="K12:K13" si="7">F12*I12</f>
        <v>14000</v>
      </c>
      <c r="L12" s="60"/>
      <c r="M12" s="1"/>
      <c r="N12" s="44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18.0" customHeight="1">
      <c r="A13" s="1"/>
      <c r="B13" s="45">
        <v>6.0</v>
      </c>
      <c r="C13" s="46" t="s">
        <v>73</v>
      </c>
      <c r="D13" s="52" t="s">
        <v>77</v>
      </c>
      <c r="E13" s="46" t="s">
        <v>78</v>
      </c>
      <c r="F13" s="45">
        <v>1.0</v>
      </c>
      <c r="G13" s="46" t="s">
        <v>66</v>
      </c>
      <c r="H13" s="45">
        <v>1500.0</v>
      </c>
      <c r="I13" s="50">
        <f t="shared" si="5"/>
        <v>4200</v>
      </c>
      <c r="J13" s="50">
        <f t="shared" si="6"/>
        <v>1500</v>
      </c>
      <c r="K13" s="51">
        <f t="shared" si="7"/>
        <v>4200</v>
      </c>
      <c r="L13" s="52" t="s">
        <v>79</v>
      </c>
      <c r="M13" s="1"/>
      <c r="N13" s="44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8.0" customHeight="1">
      <c r="A14" s="1"/>
      <c r="B14" s="56" t="s">
        <v>80</v>
      </c>
      <c r="C14" s="17"/>
      <c r="D14" s="17"/>
      <c r="E14" s="17"/>
      <c r="F14" s="17"/>
      <c r="G14" s="17"/>
      <c r="H14" s="15"/>
      <c r="I14" s="61"/>
      <c r="J14" s="57">
        <f>SUM(J12:J13)</f>
        <v>6500</v>
      </c>
      <c r="K14" s="57">
        <f>J14 + (J14*130%)</f>
        <v>14950</v>
      </c>
      <c r="L14" s="58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5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9.5" customHeight="1">
      <c r="A16" s="1"/>
      <c r="B16" s="43" t="s">
        <v>81</v>
      </c>
      <c r="C16" s="20"/>
      <c r="D16" s="20"/>
      <c r="E16" s="20"/>
      <c r="F16" s="20"/>
      <c r="G16" s="20"/>
      <c r="H16" s="20"/>
      <c r="I16" s="20"/>
      <c r="J16" s="20"/>
      <c r="K16" s="20"/>
      <c r="L16" s="2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27.75" customHeight="1">
      <c r="A17" s="1"/>
      <c r="B17" s="45">
        <v>8.0</v>
      </c>
      <c r="C17" s="62" t="s">
        <v>82</v>
      </c>
      <c r="D17" s="52" t="s">
        <v>83</v>
      </c>
      <c r="E17" s="46" t="s">
        <v>84</v>
      </c>
      <c r="F17" s="45">
        <v>1.0</v>
      </c>
      <c r="G17" s="46" t="s">
        <v>66</v>
      </c>
      <c r="H17" s="45">
        <v>8000.0</v>
      </c>
      <c r="I17" s="50">
        <f t="shared" ref="I17:I22" si="8">H17 + (H17*180%)</f>
        <v>22400</v>
      </c>
      <c r="J17" s="50">
        <f t="shared" ref="J17:J22" si="9">F17*H17</f>
        <v>8000</v>
      </c>
      <c r="K17" s="51">
        <f t="shared" ref="K17:K23" si="10">F17*I17</f>
        <v>22400</v>
      </c>
      <c r="L17" s="52" t="s">
        <v>85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24.75" customHeight="1">
      <c r="A18" s="1"/>
      <c r="B18" s="53">
        <v>9.0</v>
      </c>
      <c r="C18" s="63" t="s">
        <v>82</v>
      </c>
      <c r="D18" s="55" t="s">
        <v>86</v>
      </c>
      <c r="E18" s="54" t="s">
        <v>87</v>
      </c>
      <c r="F18" s="53">
        <v>1.0</v>
      </c>
      <c r="G18" s="54" t="s">
        <v>66</v>
      </c>
      <c r="H18" s="59">
        <v>1600.0</v>
      </c>
      <c r="I18" s="51">
        <f t="shared" si="8"/>
        <v>4480</v>
      </c>
      <c r="J18" s="51">
        <f t="shared" si="9"/>
        <v>1600</v>
      </c>
      <c r="K18" s="51">
        <f t="shared" si="10"/>
        <v>4480</v>
      </c>
      <c r="L18" s="55" t="s">
        <v>88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25.5" customHeight="1">
      <c r="A19" s="1"/>
      <c r="B19" s="45">
        <v>10.0</v>
      </c>
      <c r="C19" s="62" t="s">
        <v>82</v>
      </c>
      <c r="D19" s="47" t="s">
        <v>89</v>
      </c>
      <c r="E19" s="46" t="s">
        <v>90</v>
      </c>
      <c r="F19" s="45">
        <v>1.0</v>
      </c>
      <c r="G19" s="46" t="s">
        <v>66</v>
      </c>
      <c r="H19" s="48">
        <v>1400.0</v>
      </c>
      <c r="I19" s="50">
        <f t="shared" si="8"/>
        <v>3920</v>
      </c>
      <c r="J19" s="50">
        <f t="shared" si="9"/>
        <v>1400</v>
      </c>
      <c r="K19" s="51">
        <f t="shared" si="10"/>
        <v>3920</v>
      </c>
      <c r="L19" s="52" t="s">
        <v>91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27.75" customHeight="1">
      <c r="A20" s="1"/>
      <c r="B20" s="53">
        <v>11.0</v>
      </c>
      <c r="C20" s="63" t="s">
        <v>82</v>
      </c>
      <c r="D20" s="55" t="s">
        <v>92</v>
      </c>
      <c r="E20" s="54" t="s">
        <v>93</v>
      </c>
      <c r="F20" s="53">
        <v>1.0</v>
      </c>
      <c r="G20" s="54" t="s">
        <v>66</v>
      </c>
      <c r="H20" s="59">
        <v>1300.0</v>
      </c>
      <c r="I20" s="51">
        <f t="shared" si="8"/>
        <v>3640</v>
      </c>
      <c r="J20" s="51">
        <f t="shared" si="9"/>
        <v>1300</v>
      </c>
      <c r="K20" s="51">
        <f t="shared" si="10"/>
        <v>3640</v>
      </c>
      <c r="L20" s="55" t="s">
        <v>94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27.0" customHeight="1">
      <c r="A21" s="1"/>
      <c r="B21" s="45">
        <v>12.0</v>
      </c>
      <c r="C21" s="62" t="s">
        <v>82</v>
      </c>
      <c r="D21" s="52" t="s">
        <v>95</v>
      </c>
      <c r="E21" s="46" t="s">
        <v>96</v>
      </c>
      <c r="F21" s="45">
        <v>1.0</v>
      </c>
      <c r="G21" s="46" t="s">
        <v>66</v>
      </c>
      <c r="H21" s="48">
        <v>2000.0</v>
      </c>
      <c r="I21" s="50">
        <f t="shared" si="8"/>
        <v>5600</v>
      </c>
      <c r="J21" s="50">
        <f t="shared" si="9"/>
        <v>2000</v>
      </c>
      <c r="K21" s="51">
        <f t="shared" si="10"/>
        <v>5600</v>
      </c>
      <c r="L21" s="52" t="s">
        <v>97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26.25" customHeight="1">
      <c r="A22" s="1"/>
      <c r="B22" s="48">
        <v>13.0</v>
      </c>
      <c r="C22" s="62" t="s">
        <v>82</v>
      </c>
      <c r="D22" s="52" t="s">
        <v>98</v>
      </c>
      <c r="E22" s="46" t="s">
        <v>99</v>
      </c>
      <c r="F22" s="45">
        <v>1.0</v>
      </c>
      <c r="G22" s="46" t="s">
        <v>66</v>
      </c>
      <c r="H22" s="45">
        <v>1200.0</v>
      </c>
      <c r="I22" s="50">
        <f t="shared" si="8"/>
        <v>3360</v>
      </c>
      <c r="J22" s="50">
        <f t="shared" si="9"/>
        <v>1200</v>
      </c>
      <c r="K22" s="51">
        <f t="shared" si="10"/>
        <v>3360</v>
      </c>
      <c r="L22" s="52" t="s">
        <v>100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26.25" customHeight="1">
      <c r="A23" s="1"/>
      <c r="B23" s="64">
        <v>14.0</v>
      </c>
      <c r="C23" s="65" t="s">
        <v>101</v>
      </c>
      <c r="D23" s="66" t="s">
        <v>102</v>
      </c>
      <c r="E23" s="65" t="s">
        <v>103</v>
      </c>
      <c r="F23" s="67">
        <v>1.0</v>
      </c>
      <c r="G23" s="68" t="s">
        <v>66</v>
      </c>
      <c r="H23" s="64">
        <v>6000.0</v>
      </c>
      <c r="I23" s="69">
        <f>H13 + (H23*180%)</f>
        <v>12300</v>
      </c>
      <c r="J23" s="69">
        <v>6000.0</v>
      </c>
      <c r="K23" s="51">
        <f t="shared" si="10"/>
        <v>12300</v>
      </c>
      <c r="L23" s="70" t="s">
        <v>104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8.0" customHeight="1">
      <c r="A24" s="1"/>
      <c r="B24" s="56" t="s">
        <v>105</v>
      </c>
      <c r="C24" s="17"/>
      <c r="D24" s="17"/>
      <c r="E24" s="17"/>
      <c r="F24" s="17"/>
      <c r="G24" s="17"/>
      <c r="H24" s="15"/>
      <c r="I24" s="61"/>
      <c r="J24" s="57">
        <f t="shared" ref="J24:K24" si="11">SUM(J17:J23)</f>
        <v>21500</v>
      </c>
      <c r="K24" s="57">
        <f t="shared" si="11"/>
        <v>55700</v>
      </c>
      <c r="L24" s="58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9.5" customHeight="1">
      <c r="A26" s="1"/>
      <c r="B26" s="43" t="s">
        <v>106</v>
      </c>
      <c r="C26" s="20"/>
      <c r="D26" s="20"/>
      <c r="E26" s="20"/>
      <c r="F26" s="20"/>
      <c r="G26" s="20"/>
      <c r="H26" s="20"/>
      <c r="I26" s="20"/>
      <c r="J26" s="20"/>
      <c r="K26" s="20"/>
      <c r="L26" s="2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22.5" customHeight="1">
      <c r="A27" s="1"/>
      <c r="B27" s="48">
        <v>15.0</v>
      </c>
      <c r="C27" s="46" t="s">
        <v>107</v>
      </c>
      <c r="D27" s="52" t="s">
        <v>108</v>
      </c>
      <c r="E27" s="46" t="s">
        <v>109</v>
      </c>
      <c r="F27" s="45">
        <v>1.0</v>
      </c>
      <c r="G27" s="46" t="s">
        <v>66</v>
      </c>
      <c r="H27" s="48">
        <v>15000.0</v>
      </c>
      <c r="I27" s="50">
        <f>H27 + (H27*220%)</f>
        <v>48000</v>
      </c>
      <c r="J27" s="50">
        <f t="shared" ref="J27:J28" si="12">F27*H27</f>
        <v>15000</v>
      </c>
      <c r="K27" s="51">
        <f t="shared" ref="K27:K28" si="13">F27*I27</f>
        <v>48000</v>
      </c>
      <c r="L27" s="52" t="s">
        <v>110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24.0" customHeight="1">
      <c r="A28" s="1"/>
      <c r="B28" s="59">
        <v>16.0</v>
      </c>
      <c r="C28" s="54" t="s">
        <v>107</v>
      </c>
      <c r="D28" s="55" t="s">
        <v>111</v>
      </c>
      <c r="E28" s="54" t="s">
        <v>112</v>
      </c>
      <c r="F28" s="53">
        <v>1.0</v>
      </c>
      <c r="G28" s="54" t="s">
        <v>66</v>
      </c>
      <c r="H28" s="53">
        <v>1200.0</v>
      </c>
      <c r="I28" s="51">
        <f>H28 + (H28*130%)</f>
        <v>2760</v>
      </c>
      <c r="J28" s="51">
        <f t="shared" si="12"/>
        <v>1200</v>
      </c>
      <c r="K28" s="51">
        <f t="shared" si="13"/>
        <v>2760</v>
      </c>
      <c r="L28" s="55" t="s">
        <v>113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8.0" customHeight="1">
      <c r="A29" s="1"/>
      <c r="B29" s="56" t="s">
        <v>114</v>
      </c>
      <c r="C29" s="17"/>
      <c r="D29" s="17"/>
      <c r="E29" s="17"/>
      <c r="F29" s="17"/>
      <c r="G29" s="17"/>
      <c r="H29" s="15"/>
      <c r="I29" s="61"/>
      <c r="J29" s="57">
        <f t="shared" ref="J29:K29" si="14">SUM(J27:J28)</f>
        <v>16200</v>
      </c>
      <c r="K29" s="57">
        <f t="shared" si="14"/>
        <v>50760</v>
      </c>
      <c r="L29" s="58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9.5" customHeight="1">
      <c r="A31" s="1"/>
      <c r="B31" s="43" t="s">
        <v>115</v>
      </c>
      <c r="C31" s="20"/>
      <c r="D31" s="20"/>
      <c r="E31" s="20"/>
      <c r="F31" s="20"/>
      <c r="G31" s="20"/>
      <c r="H31" s="20"/>
      <c r="I31" s="20"/>
      <c r="J31" s="20"/>
      <c r="K31" s="20"/>
      <c r="L31" s="2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21.75" customHeight="1">
      <c r="A32" s="1"/>
      <c r="B32" s="48">
        <v>17.0</v>
      </c>
      <c r="C32" s="46" t="s">
        <v>107</v>
      </c>
      <c r="D32" s="52" t="s">
        <v>116</v>
      </c>
      <c r="E32" s="46" t="s">
        <v>109</v>
      </c>
      <c r="F32" s="45">
        <v>2.0</v>
      </c>
      <c r="G32" s="46" t="s">
        <v>66</v>
      </c>
      <c r="H32" s="48">
        <v>15000.0</v>
      </c>
      <c r="I32" s="50">
        <f>H32 + (H32*220%)</f>
        <v>48000</v>
      </c>
      <c r="J32" s="50">
        <f t="shared" ref="J32:J33" si="15">F32*H32</f>
        <v>30000</v>
      </c>
      <c r="K32" s="51">
        <f t="shared" ref="K32:K33" si="16">F32*I32</f>
        <v>96000</v>
      </c>
      <c r="L32" s="52" t="s">
        <v>110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24.75" customHeight="1">
      <c r="A33" s="1"/>
      <c r="B33" s="53">
        <v>18.0</v>
      </c>
      <c r="C33" s="54" t="s">
        <v>107</v>
      </c>
      <c r="D33" s="55" t="s">
        <v>117</v>
      </c>
      <c r="E33" s="54" t="s">
        <v>112</v>
      </c>
      <c r="F33" s="53">
        <v>1.0</v>
      </c>
      <c r="G33" s="54" t="s">
        <v>66</v>
      </c>
      <c r="H33" s="53">
        <v>1200.0</v>
      </c>
      <c r="I33" s="51">
        <f>H33 + (H33*130%)</f>
        <v>2760</v>
      </c>
      <c r="J33" s="51">
        <f t="shared" si="15"/>
        <v>1200</v>
      </c>
      <c r="K33" s="51">
        <f t="shared" si="16"/>
        <v>2760</v>
      </c>
      <c r="L33" s="55" t="s">
        <v>113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8.0" customHeight="1">
      <c r="A34" s="1"/>
      <c r="B34" s="56" t="s">
        <v>118</v>
      </c>
      <c r="C34" s="17"/>
      <c r="D34" s="17"/>
      <c r="E34" s="17"/>
      <c r="F34" s="17"/>
      <c r="G34" s="17"/>
      <c r="H34" s="15"/>
      <c r="I34" s="61"/>
      <c r="J34" s="57">
        <f t="shared" ref="J34:K34" si="17">SUM(J32:J33)</f>
        <v>31200</v>
      </c>
      <c r="K34" s="57">
        <f t="shared" si="17"/>
        <v>98760</v>
      </c>
      <c r="L34" s="58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9.5" customHeight="1">
      <c r="A36" s="1"/>
      <c r="B36" s="43" t="s">
        <v>119</v>
      </c>
      <c r="C36" s="20"/>
      <c r="D36" s="20"/>
      <c r="E36" s="20"/>
      <c r="F36" s="20"/>
      <c r="G36" s="20"/>
      <c r="H36" s="20"/>
      <c r="I36" s="20"/>
      <c r="J36" s="20"/>
      <c r="K36" s="20"/>
      <c r="L36" s="2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24.0" customHeight="1">
      <c r="A37" s="1"/>
      <c r="B37" s="45">
        <v>19.0</v>
      </c>
      <c r="C37" s="46" t="s">
        <v>120</v>
      </c>
      <c r="D37" s="71" t="s">
        <v>121</v>
      </c>
      <c r="E37" s="72" t="s">
        <v>122</v>
      </c>
      <c r="F37" s="45">
        <v>1.0</v>
      </c>
      <c r="G37" s="72" t="s">
        <v>70</v>
      </c>
      <c r="H37" s="45">
        <v>2800.0</v>
      </c>
      <c r="I37" s="50">
        <f>H37 + (H37*350%)</f>
        <v>12600</v>
      </c>
      <c r="J37" s="50">
        <f t="shared" ref="J37:J40" si="18">F37*H37</f>
        <v>2800</v>
      </c>
      <c r="K37" s="51">
        <f t="shared" ref="K37:K40" si="19">F37*I37</f>
        <v>12600</v>
      </c>
      <c r="L37" s="71" t="s">
        <v>123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8.0" customHeight="1">
      <c r="A38" s="1"/>
      <c r="B38" s="73">
        <v>20.0</v>
      </c>
      <c r="C38" s="74" t="s">
        <v>124</v>
      </c>
      <c r="D38" s="27" t="s">
        <v>125</v>
      </c>
      <c r="E38" s="74" t="s">
        <v>126</v>
      </c>
      <c r="F38" s="73">
        <v>1.0</v>
      </c>
      <c r="G38" s="75" t="s">
        <v>66</v>
      </c>
      <c r="H38" s="73">
        <v>600.0</v>
      </c>
      <c r="I38" s="76">
        <f t="shared" ref="I38:I40" si="20">H38 + (H38*350%)</f>
        <v>2700</v>
      </c>
      <c r="J38" s="76">
        <f t="shared" si="18"/>
        <v>600</v>
      </c>
      <c r="K38" s="51">
        <f t="shared" si="19"/>
        <v>2700</v>
      </c>
      <c r="L38" s="27" t="s">
        <v>127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8.0" customHeight="1">
      <c r="A39" s="1"/>
      <c r="B39" s="77">
        <v>21.0</v>
      </c>
      <c r="C39" s="78" t="s">
        <v>128</v>
      </c>
      <c r="D39" s="25" t="s">
        <v>129</v>
      </c>
      <c r="E39" s="79" t="s">
        <v>130</v>
      </c>
      <c r="F39" s="77">
        <v>1.0</v>
      </c>
      <c r="G39" s="79" t="s">
        <v>66</v>
      </c>
      <c r="H39" s="77">
        <v>600.0</v>
      </c>
      <c r="I39" s="76">
        <f t="shared" si="20"/>
        <v>2700</v>
      </c>
      <c r="J39" s="76">
        <f t="shared" si="18"/>
        <v>600</v>
      </c>
      <c r="K39" s="51">
        <f t="shared" si="19"/>
        <v>2700</v>
      </c>
      <c r="L39" s="2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22.5" customHeight="1">
      <c r="A40" s="1"/>
      <c r="B40" s="48">
        <v>22.0</v>
      </c>
      <c r="C40" s="62" t="s">
        <v>131</v>
      </c>
      <c r="D40" s="80" t="s">
        <v>132</v>
      </c>
      <c r="E40" s="80" t="s">
        <v>133</v>
      </c>
      <c r="F40" s="45">
        <v>1.0</v>
      </c>
      <c r="G40" s="72" t="s">
        <v>66</v>
      </c>
      <c r="H40" s="48">
        <v>6500.0</v>
      </c>
      <c r="I40" s="50">
        <f t="shared" si="20"/>
        <v>29250</v>
      </c>
      <c r="J40" s="50">
        <f t="shared" si="18"/>
        <v>6500</v>
      </c>
      <c r="K40" s="51">
        <f t="shared" si="19"/>
        <v>29250</v>
      </c>
      <c r="L40" s="80" t="s">
        <v>134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8.0" customHeight="1">
      <c r="A41" s="1"/>
      <c r="B41" s="56" t="s">
        <v>135</v>
      </c>
      <c r="C41" s="17"/>
      <c r="D41" s="17"/>
      <c r="E41" s="17"/>
      <c r="F41" s="17"/>
      <c r="G41" s="17"/>
      <c r="H41" s="15"/>
      <c r="I41" s="61"/>
      <c r="J41" s="57">
        <f t="shared" ref="J41:K41" si="21">SUM(J37:J40)</f>
        <v>10500</v>
      </c>
      <c r="K41" s="57">
        <f t="shared" si="21"/>
        <v>47250</v>
      </c>
      <c r="L41" s="58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9.5" customHeight="1">
      <c r="A43" s="1"/>
      <c r="B43" s="81" t="s">
        <v>136</v>
      </c>
      <c r="C43" s="20"/>
      <c r="D43" s="20"/>
      <c r="E43" s="20"/>
      <c r="F43" s="20"/>
      <c r="G43" s="20"/>
      <c r="H43" s="20"/>
      <c r="I43" s="20"/>
      <c r="J43" s="20"/>
      <c r="K43" s="20"/>
      <c r="L43" s="2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8.0" customHeight="1">
      <c r="A44" s="1"/>
      <c r="B44" s="59">
        <v>23.0</v>
      </c>
      <c r="C44" s="54" t="s">
        <v>137</v>
      </c>
      <c r="D44" s="70" t="s">
        <v>138</v>
      </c>
      <c r="E44" s="63" t="s">
        <v>139</v>
      </c>
      <c r="F44" s="53">
        <v>1.0</v>
      </c>
      <c r="G44" s="54" t="s">
        <v>66</v>
      </c>
      <c r="H44" s="59">
        <v>35000.0</v>
      </c>
      <c r="I44" s="51">
        <f>H44 + (H44*360%)</f>
        <v>161000</v>
      </c>
      <c r="J44" s="51">
        <f>F44*H44</f>
        <v>35000</v>
      </c>
      <c r="K44" s="51">
        <f>F44*I44</f>
        <v>161000</v>
      </c>
      <c r="L44" s="55" t="s">
        <v>140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8.0" customHeight="1">
      <c r="A45" s="1"/>
      <c r="B45" s="56" t="s">
        <v>141</v>
      </c>
      <c r="C45" s="17"/>
      <c r="D45" s="17"/>
      <c r="E45" s="17"/>
      <c r="F45" s="17"/>
      <c r="G45" s="17"/>
      <c r="H45" s="15"/>
      <c r="I45" s="61"/>
      <c r="J45" s="57">
        <f t="shared" ref="J45:K45" si="22">SUM(J44)</f>
        <v>35000</v>
      </c>
      <c r="K45" s="57">
        <f t="shared" si="22"/>
        <v>161000</v>
      </c>
      <c r="L45" s="58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9.5" customHeight="1">
      <c r="A47" s="1"/>
      <c r="B47" s="43" t="s">
        <v>142</v>
      </c>
      <c r="C47" s="20"/>
      <c r="D47" s="20"/>
      <c r="E47" s="20"/>
      <c r="F47" s="20"/>
      <c r="G47" s="20"/>
      <c r="H47" s="20"/>
      <c r="I47" s="20"/>
      <c r="J47" s="20"/>
      <c r="K47" s="20"/>
      <c r="L47" s="2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8.0" customHeight="1">
      <c r="A48" s="1"/>
      <c r="B48" s="59">
        <v>24.0</v>
      </c>
      <c r="C48" s="54" t="s">
        <v>143</v>
      </c>
      <c r="D48" s="55" t="s">
        <v>144</v>
      </c>
      <c r="E48" s="54" t="s">
        <v>145</v>
      </c>
      <c r="F48" s="53">
        <v>1.0</v>
      </c>
      <c r="G48" s="54" t="s">
        <v>66</v>
      </c>
      <c r="H48" s="59">
        <v>1500.0</v>
      </c>
      <c r="I48" s="51">
        <f>H48 + (H48*130%)</f>
        <v>3450</v>
      </c>
      <c r="J48" s="51">
        <f>F48*H48</f>
        <v>1500</v>
      </c>
      <c r="K48" s="51">
        <f>F48*I48</f>
        <v>3450</v>
      </c>
      <c r="L48" s="55" t="s">
        <v>146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8.0" customHeight="1">
      <c r="A49" s="1"/>
      <c r="B49" s="56" t="s">
        <v>147</v>
      </c>
      <c r="C49" s="17"/>
      <c r="D49" s="17"/>
      <c r="E49" s="17"/>
      <c r="F49" s="17"/>
      <c r="G49" s="17"/>
      <c r="H49" s="15"/>
      <c r="I49" s="61"/>
      <c r="J49" s="57">
        <f t="shared" ref="J49:K49" si="23">SUM(J48)</f>
        <v>1500</v>
      </c>
      <c r="K49" s="57">
        <f t="shared" si="23"/>
        <v>3450</v>
      </c>
      <c r="L49" s="58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9.5" customHeight="1">
      <c r="A51" s="1"/>
      <c r="B51" s="43" t="s">
        <v>148</v>
      </c>
      <c r="C51" s="20"/>
      <c r="D51" s="20"/>
      <c r="E51" s="20"/>
      <c r="F51" s="20"/>
      <c r="G51" s="20"/>
      <c r="H51" s="20"/>
      <c r="I51" s="20"/>
      <c r="J51" s="20"/>
      <c r="K51" s="20"/>
      <c r="L51" s="2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21.0" customHeight="1">
      <c r="A52" s="1"/>
      <c r="B52" s="48">
        <v>25.0</v>
      </c>
      <c r="C52" s="46" t="s">
        <v>149</v>
      </c>
      <c r="D52" s="52" t="s">
        <v>150</v>
      </c>
      <c r="E52" s="46" t="s">
        <v>151</v>
      </c>
      <c r="F52" s="45">
        <v>1.0</v>
      </c>
      <c r="G52" s="46" t="s">
        <v>152</v>
      </c>
      <c r="H52" s="45">
        <v>25000.0</v>
      </c>
      <c r="I52" s="50">
        <f>H52 + (H52*300%)</f>
        <v>100000</v>
      </c>
      <c r="J52" s="50">
        <f t="shared" ref="J52:J53" si="24">F52*H52</f>
        <v>25000</v>
      </c>
      <c r="K52" s="51">
        <f t="shared" ref="K52:K53" si="25">F52*I52</f>
        <v>100000</v>
      </c>
      <c r="L52" s="52" t="s">
        <v>153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22.5" customHeight="1">
      <c r="A53" s="1"/>
      <c r="B53" s="59">
        <v>27.0</v>
      </c>
      <c r="C53" s="54" t="s">
        <v>149</v>
      </c>
      <c r="D53" s="55" t="s">
        <v>154</v>
      </c>
      <c r="E53" s="54" t="s">
        <v>155</v>
      </c>
      <c r="F53" s="53">
        <v>1.0</v>
      </c>
      <c r="G53" s="54" t="s">
        <v>156</v>
      </c>
      <c r="H53" s="59">
        <v>4000.0</v>
      </c>
      <c r="I53" s="51">
        <f>H53 + (H53*150%)</f>
        <v>10000</v>
      </c>
      <c r="J53" s="51">
        <f t="shared" si="24"/>
        <v>4000</v>
      </c>
      <c r="K53" s="51">
        <f t="shared" si="25"/>
        <v>10000</v>
      </c>
      <c r="L53" s="55" t="s">
        <v>157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8.0" customHeight="1">
      <c r="A54" s="1"/>
      <c r="B54" s="56" t="s">
        <v>158</v>
      </c>
      <c r="C54" s="17"/>
      <c r="D54" s="17"/>
      <c r="E54" s="17"/>
      <c r="F54" s="17"/>
      <c r="G54" s="17"/>
      <c r="H54" s="15"/>
      <c r="I54" s="61"/>
      <c r="J54" s="57">
        <f t="shared" ref="J54:K54" si="26">SUM(J52:J53)</f>
        <v>29000</v>
      </c>
      <c r="K54" s="57">
        <f t="shared" si="26"/>
        <v>110000</v>
      </c>
      <c r="L54" s="58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9.5" customHeight="1">
      <c r="A56" s="1"/>
      <c r="B56" s="43" t="s">
        <v>159</v>
      </c>
      <c r="C56" s="20"/>
      <c r="D56" s="20"/>
      <c r="E56" s="20"/>
      <c r="F56" s="20"/>
      <c r="G56" s="20"/>
      <c r="H56" s="20"/>
      <c r="I56" s="20"/>
      <c r="J56" s="20"/>
      <c r="K56" s="20"/>
      <c r="L56" s="2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36.0" customHeight="1">
      <c r="A57" s="1"/>
      <c r="B57" s="59">
        <v>28.0</v>
      </c>
      <c r="C57" s="54" t="s">
        <v>40</v>
      </c>
      <c r="D57" s="70" t="s">
        <v>160</v>
      </c>
      <c r="E57" s="54" t="s">
        <v>161</v>
      </c>
      <c r="F57" s="53">
        <v>1.0</v>
      </c>
      <c r="G57" s="54" t="s">
        <v>70</v>
      </c>
      <c r="H57" s="59">
        <v>8000.0</v>
      </c>
      <c r="I57" s="51">
        <f>H57 + (H57*130%)</f>
        <v>18400</v>
      </c>
      <c r="J57" s="51">
        <f>F57*H57</f>
        <v>8000</v>
      </c>
      <c r="K57" s="51">
        <f>F57*I57</f>
        <v>18400</v>
      </c>
      <c r="L57" s="6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8.0" customHeight="1">
      <c r="A58" s="1"/>
      <c r="B58" s="56" t="s">
        <v>162</v>
      </c>
      <c r="C58" s="17"/>
      <c r="D58" s="17"/>
      <c r="E58" s="17"/>
      <c r="F58" s="17"/>
      <c r="G58" s="17"/>
      <c r="H58" s="15"/>
      <c r="I58" s="61"/>
      <c r="J58" s="57">
        <f t="shared" ref="J58:K58" si="27">SUM(J57)</f>
        <v>8000</v>
      </c>
      <c r="K58" s="57">
        <f t="shared" si="27"/>
        <v>18400</v>
      </c>
      <c r="L58" s="5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</sheetData>
  <mergeCells count="21">
    <mergeCell ref="B2:L3"/>
    <mergeCell ref="B5:L5"/>
    <mergeCell ref="B9:H9"/>
    <mergeCell ref="B11:L11"/>
    <mergeCell ref="B14:H14"/>
    <mergeCell ref="B16:L16"/>
    <mergeCell ref="B24:H24"/>
    <mergeCell ref="B45:H45"/>
    <mergeCell ref="B47:L47"/>
    <mergeCell ref="B49:H49"/>
    <mergeCell ref="B51:L51"/>
    <mergeCell ref="B54:H54"/>
    <mergeCell ref="B56:L56"/>
    <mergeCell ref="B58:H58"/>
    <mergeCell ref="B26:L26"/>
    <mergeCell ref="B29:H29"/>
    <mergeCell ref="B31:L31"/>
    <mergeCell ref="B34:H34"/>
    <mergeCell ref="B36:L36"/>
    <mergeCell ref="B41:H41"/>
    <mergeCell ref="B43:L4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3" width="41.0"/>
    <col customWidth="1" min="4" max="4" width="31.43"/>
    <col customWidth="1" min="5" max="5" width="3.0"/>
    <col customWidth="1" min="6" max="6" width="8.71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7.75" customHeight="1">
      <c r="A2" s="1"/>
      <c r="B2" s="40" t="s">
        <v>163</v>
      </c>
      <c r="C2" s="3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5.0" customHeight="1">
      <c r="A3" s="1"/>
      <c r="B3" s="7"/>
      <c r="C3" s="8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9.5" customHeight="1">
      <c r="A4" s="1"/>
      <c r="B4" s="22" t="s">
        <v>164</v>
      </c>
      <c r="C4" s="22" t="s">
        <v>165</v>
      </c>
      <c r="D4" s="22" t="s">
        <v>20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9.5" customHeight="1">
      <c r="A5" s="1"/>
      <c r="B5" s="43" t="s">
        <v>166</v>
      </c>
      <c r="C5" s="20"/>
      <c r="D5" s="2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8.0" customHeight="1">
      <c r="A6" s="1"/>
      <c r="B6" s="82" t="s">
        <v>167</v>
      </c>
      <c r="C6" s="71" t="s">
        <v>168</v>
      </c>
      <c r="D6" s="71" t="s">
        <v>169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8.0" customHeight="1">
      <c r="A7" s="1"/>
      <c r="B7" s="83" t="s">
        <v>170</v>
      </c>
      <c r="C7" s="27" t="s">
        <v>171</v>
      </c>
      <c r="D7" s="2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8.0" customHeight="1">
      <c r="A8" s="1"/>
      <c r="B8" s="82" t="s">
        <v>172</v>
      </c>
      <c r="C8" s="71" t="s">
        <v>173</v>
      </c>
      <c r="D8" s="7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8.0" customHeight="1">
      <c r="A9" s="1"/>
      <c r="B9" s="83" t="s">
        <v>174</v>
      </c>
      <c r="C9" s="27" t="s">
        <v>175</v>
      </c>
      <c r="D9" s="2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8.0" customHeight="1">
      <c r="A10" s="1"/>
      <c r="B10" s="82" t="s">
        <v>176</v>
      </c>
      <c r="C10" s="71" t="s">
        <v>168</v>
      </c>
      <c r="D10" s="71" t="s">
        <v>177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8.0" customHeight="1">
      <c r="A11" s="1"/>
      <c r="B11" s="83" t="s">
        <v>178</v>
      </c>
      <c r="C11" s="27" t="s">
        <v>179</v>
      </c>
      <c r="D11" s="2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9.5" customHeight="1">
      <c r="A13" s="1"/>
      <c r="B13" s="43" t="s">
        <v>180</v>
      </c>
      <c r="C13" s="20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8.0" customHeight="1">
      <c r="A14" s="1"/>
      <c r="B14" s="82" t="s">
        <v>181</v>
      </c>
      <c r="C14" s="71" t="s">
        <v>182</v>
      </c>
      <c r="D14" s="7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8.0" customHeight="1">
      <c r="A15" s="1"/>
      <c r="B15" s="83" t="s">
        <v>183</v>
      </c>
      <c r="C15" s="27" t="s">
        <v>184</v>
      </c>
      <c r="D15" s="2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8.0" customHeight="1">
      <c r="A16" s="1"/>
      <c r="B16" s="82" t="s">
        <v>185</v>
      </c>
      <c r="C16" s="71" t="s">
        <v>168</v>
      </c>
      <c r="D16" s="71" t="s">
        <v>168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8.0" customHeight="1">
      <c r="A17" s="1"/>
      <c r="B17" s="83" t="s">
        <v>186</v>
      </c>
      <c r="C17" s="27" t="s">
        <v>187</v>
      </c>
      <c r="D17" s="27" t="s">
        <v>188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8.0" customHeight="1">
      <c r="A18" s="1"/>
      <c r="B18" s="82" t="s">
        <v>189</v>
      </c>
      <c r="C18" s="71" t="s">
        <v>190</v>
      </c>
      <c r="D18" s="71" t="s">
        <v>191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5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9.5" customHeight="1">
      <c r="A20" s="1"/>
      <c r="B20" s="43" t="s">
        <v>192</v>
      </c>
      <c r="C20" s="20"/>
      <c r="D20" s="2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8.0" customHeight="1">
      <c r="A21" s="1"/>
      <c r="B21" s="82" t="s">
        <v>193</v>
      </c>
      <c r="C21" s="71" t="s">
        <v>194</v>
      </c>
      <c r="D21" s="71" t="s">
        <v>195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8.0" customHeight="1">
      <c r="A22" s="1"/>
      <c r="B22" s="84" t="s">
        <v>196</v>
      </c>
      <c r="C22" s="27" t="s">
        <v>197</v>
      </c>
      <c r="D22" s="27" t="s">
        <v>198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8.0" customHeight="1">
      <c r="A23" s="1"/>
      <c r="B23" s="85" t="s">
        <v>199</v>
      </c>
      <c r="C23" s="71" t="s">
        <v>200</v>
      </c>
      <c r="D23" s="71" t="s">
        <v>201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8.0" customHeight="1">
      <c r="A24" s="1"/>
      <c r="B24" s="83" t="s">
        <v>202</v>
      </c>
      <c r="C24" s="27" t="s">
        <v>203</v>
      </c>
      <c r="D24" s="27" t="s">
        <v>204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8.0" customHeight="1">
      <c r="A25" s="1"/>
      <c r="B25" s="82" t="s">
        <v>205</v>
      </c>
      <c r="C25" s="71" t="s">
        <v>206</v>
      </c>
      <c r="D25" s="71" t="s">
        <v>207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24.0" customHeight="1">
      <c r="A26" s="1"/>
      <c r="B26" s="86" t="s">
        <v>208</v>
      </c>
      <c r="C26" s="87" t="s">
        <v>209</v>
      </c>
      <c r="D26" s="87" t="s">
        <v>210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9.5" customHeight="1">
      <c r="A28" s="1"/>
      <c r="B28" s="43" t="s">
        <v>211</v>
      </c>
      <c r="C28" s="20"/>
      <c r="D28" s="2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8.0" customHeight="1">
      <c r="A29" s="1"/>
      <c r="B29" s="82" t="s">
        <v>212</v>
      </c>
      <c r="C29" s="71" t="s">
        <v>213</v>
      </c>
      <c r="D29" s="71" t="s">
        <v>214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8.0" customHeight="1">
      <c r="A30" s="1"/>
      <c r="B30" s="83" t="s">
        <v>215</v>
      </c>
      <c r="C30" s="27" t="s">
        <v>216</v>
      </c>
      <c r="D30" s="27" t="s">
        <v>217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8.0" customHeight="1">
      <c r="A31" s="1"/>
      <c r="B31" s="82" t="s">
        <v>218</v>
      </c>
      <c r="C31" s="71" t="s">
        <v>219</v>
      </c>
      <c r="D31" s="71" t="s">
        <v>220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8.0" customHeight="1">
      <c r="A32" s="1"/>
      <c r="B32" s="83" t="s">
        <v>221</v>
      </c>
      <c r="C32" s="27" t="s">
        <v>222</v>
      </c>
      <c r="D32" s="27" t="s">
        <v>223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8.0" customHeight="1">
      <c r="A33" s="1"/>
      <c r="B33" s="82" t="s">
        <v>224</v>
      </c>
      <c r="C33" s="71" t="s">
        <v>225</v>
      </c>
      <c r="D33" s="71" t="s">
        <v>226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8.0" customHeight="1">
      <c r="A34" s="1"/>
      <c r="B34" s="83" t="s">
        <v>227</v>
      </c>
      <c r="C34" s="27" t="s">
        <v>228</v>
      </c>
      <c r="D34" s="27" t="s">
        <v>229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8.0" customHeight="1">
      <c r="A35" s="1"/>
      <c r="B35" s="82" t="s">
        <v>230</v>
      </c>
      <c r="C35" s="71" t="s">
        <v>231</v>
      </c>
      <c r="D35" s="71" t="s">
        <v>232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9.5" customHeight="1">
      <c r="A37" s="1"/>
      <c r="B37" s="43" t="s">
        <v>233</v>
      </c>
      <c r="C37" s="20"/>
      <c r="D37" s="2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8.0" customHeight="1">
      <c r="A38" s="1"/>
      <c r="B38" s="83" t="s">
        <v>234</v>
      </c>
      <c r="C38" s="27" t="s">
        <v>235</v>
      </c>
      <c r="D38" s="27" t="s">
        <v>236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9.5" customHeight="1">
      <c r="A40" s="1"/>
      <c r="B40" s="43" t="s">
        <v>237</v>
      </c>
      <c r="C40" s="20"/>
      <c r="D40" s="2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8.0" customHeight="1">
      <c r="A41" s="1"/>
      <c r="B41" s="83" t="s">
        <v>238</v>
      </c>
      <c r="C41" s="27" t="s">
        <v>239</v>
      </c>
      <c r="D41" s="27" t="s">
        <v>240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8.0" customHeight="1">
      <c r="A42" s="1"/>
      <c r="B42" s="82" t="s">
        <v>241</v>
      </c>
      <c r="C42" s="71" t="s">
        <v>242</v>
      </c>
      <c r="D42" s="71" t="s">
        <v>243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8.0" customHeight="1">
      <c r="A43" s="1"/>
      <c r="B43" s="83" t="s">
        <v>244</v>
      </c>
      <c r="C43" s="27" t="s">
        <v>245</v>
      </c>
      <c r="D43" s="27" t="s">
        <v>246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8.0" customHeight="1">
      <c r="A44" s="1"/>
      <c r="B44" s="82" t="s">
        <v>247</v>
      </c>
      <c r="C44" s="71" t="s">
        <v>248</v>
      </c>
      <c r="D44" s="71" t="s">
        <v>249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8.0" customHeight="1">
      <c r="A45" s="1"/>
      <c r="B45" s="83" t="s">
        <v>250</v>
      </c>
      <c r="C45" s="27" t="s">
        <v>251</v>
      </c>
      <c r="D45" s="27" t="s">
        <v>252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8.0" customHeight="1">
      <c r="A46" s="1"/>
      <c r="B46" s="82" t="s">
        <v>253</v>
      </c>
      <c r="C46" s="71" t="s">
        <v>254</v>
      </c>
      <c r="D46" s="71" t="s">
        <v>255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9.5" customHeight="1">
      <c r="A48" s="1"/>
      <c r="B48" s="43" t="s">
        <v>256</v>
      </c>
      <c r="C48" s="20"/>
      <c r="D48" s="2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8.0" customHeight="1">
      <c r="A49" s="1"/>
      <c r="B49" s="82" t="s">
        <v>257</v>
      </c>
      <c r="C49" s="71" t="s">
        <v>258</v>
      </c>
      <c r="D49" s="71" t="s">
        <v>259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8.0" customHeight="1">
      <c r="A50" s="1"/>
      <c r="B50" s="83" t="s">
        <v>260</v>
      </c>
      <c r="C50" s="27" t="s">
        <v>261</v>
      </c>
      <c r="D50" s="27" t="s">
        <v>262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8.0" customHeight="1">
      <c r="A51" s="1"/>
      <c r="B51" s="82" t="s">
        <v>263</v>
      </c>
      <c r="C51" s="71" t="s">
        <v>264</v>
      </c>
      <c r="D51" s="71" t="s">
        <v>265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8.0" customHeight="1">
      <c r="A52" s="1"/>
      <c r="B52" s="83" t="s">
        <v>266</v>
      </c>
      <c r="C52" s="25" t="s">
        <v>267</v>
      </c>
      <c r="D52" s="27" t="s">
        <v>265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8.0" customHeight="1">
      <c r="A53" s="1"/>
      <c r="B53" s="82" t="s">
        <v>268</v>
      </c>
      <c r="C53" s="71" t="s">
        <v>269</v>
      </c>
      <c r="D53" s="71" t="s">
        <v>270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8.0" customHeight="1">
      <c r="A54" s="1"/>
      <c r="B54" s="88" t="s">
        <v>124</v>
      </c>
      <c r="C54" s="89" t="s">
        <v>126</v>
      </c>
      <c r="D54" s="89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24.0" customHeight="1">
      <c r="A56" s="1"/>
      <c r="B56" s="39" t="s">
        <v>271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9">
    <mergeCell ref="B48:D48"/>
    <mergeCell ref="B56:D56"/>
    <mergeCell ref="B2:D3"/>
    <mergeCell ref="B5:D5"/>
    <mergeCell ref="B13:D13"/>
    <mergeCell ref="B20:D20"/>
    <mergeCell ref="B28:D28"/>
    <mergeCell ref="B37:D37"/>
    <mergeCell ref="B40:D40"/>
  </mergeCells>
  <printOptions/>
  <pageMargins bottom="1.0" footer="0.0" header="0.0" left="0.75" right="0.75" top="1.0"/>
  <pageSetup paperSize="9" orientation="portrait"/>
  <drawing r:id="rId1"/>
</worksheet>
</file>